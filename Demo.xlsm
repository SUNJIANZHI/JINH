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ustinsun/Documents/GitHub/JINH/"/>
    </mc:Choice>
  </mc:AlternateContent>
  <xr:revisionPtr revIDLastSave="0" documentId="13_ncr:1_{0B5551E3-934E-B148-B228-C5AB1214AD20}" xr6:coauthVersionLast="38" xr6:coauthVersionMax="38" xr10:uidLastSave="{00000000-0000-0000-0000-000000000000}"/>
  <bookViews>
    <workbookView xWindow="0" yWindow="460" windowWidth="27800" windowHeight="17540" activeTab="1" xr2:uid="{00000000-000D-0000-FFFF-FFFF00000000}"/>
  </bookViews>
  <sheets>
    <sheet name="Data" sheetId="3" r:id="rId1"/>
    <sheet name="Term Life with morb lapse" sheetId="6" r:id="rId2"/>
    <sheet name="Term Life with mord" sheetId="4" state="hidden" r:id="rId3"/>
    <sheet name="Sheet1" sheetId="5" r:id="rId4"/>
    <sheet name="Term Life" sheetId="2" r:id="rId5"/>
    <sheet name="Endowment" sheetId="1" r:id="rId6"/>
  </sheets>
  <definedNames>
    <definedName name="Morbidity_Table">'Term Life with morb lapse'!$G$31:$K$133</definedName>
    <definedName name="Mortality_Table" localSheetId="1">'Term Life with morb lapse'!$A$31:$E$133</definedName>
    <definedName name="Mortality_Table">'Term Life with mord'!$A$31:$E$133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6" l="1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R4" i="6" l="1"/>
  <c r="J35" i="6" l="1"/>
  <c r="J39" i="6"/>
  <c r="J43" i="6"/>
  <c r="J47" i="6"/>
  <c r="J51" i="6"/>
  <c r="J55" i="6"/>
  <c r="J59" i="6"/>
  <c r="J63" i="6"/>
  <c r="J67" i="6"/>
  <c r="J71" i="6"/>
  <c r="J75" i="6"/>
  <c r="J79" i="6"/>
  <c r="J83" i="6"/>
  <c r="J87" i="6"/>
  <c r="J91" i="6"/>
  <c r="J95" i="6"/>
  <c r="J99" i="6"/>
  <c r="J103" i="6"/>
  <c r="J107" i="6"/>
  <c r="J111" i="6"/>
  <c r="J115" i="6"/>
  <c r="J119" i="6"/>
  <c r="J123" i="6"/>
  <c r="J127" i="6"/>
  <c r="J131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J34" i="6"/>
  <c r="J36" i="6"/>
  <c r="J37" i="6"/>
  <c r="J38" i="6"/>
  <c r="J40" i="6"/>
  <c r="J41" i="6"/>
  <c r="J42" i="6"/>
  <c r="J44" i="6"/>
  <c r="J45" i="6"/>
  <c r="J46" i="6"/>
  <c r="J48" i="6"/>
  <c r="J49" i="6"/>
  <c r="J50" i="6"/>
  <c r="J52" i="6"/>
  <c r="J53" i="6"/>
  <c r="J54" i="6"/>
  <c r="J56" i="6"/>
  <c r="J57" i="6"/>
  <c r="J58" i="6"/>
  <c r="J60" i="6"/>
  <c r="J61" i="6"/>
  <c r="J62" i="6"/>
  <c r="J64" i="6"/>
  <c r="J65" i="6"/>
  <c r="J66" i="6"/>
  <c r="J68" i="6"/>
  <c r="J69" i="6"/>
  <c r="J70" i="6"/>
  <c r="J72" i="6"/>
  <c r="J73" i="6"/>
  <c r="J74" i="6"/>
  <c r="J76" i="6"/>
  <c r="J77" i="6"/>
  <c r="J78" i="6"/>
  <c r="J80" i="6"/>
  <c r="J81" i="6"/>
  <c r="J82" i="6"/>
  <c r="J84" i="6"/>
  <c r="J85" i="6"/>
  <c r="J86" i="6"/>
  <c r="J88" i="6"/>
  <c r="J89" i="6"/>
  <c r="J90" i="6"/>
  <c r="J92" i="6"/>
  <c r="J93" i="6"/>
  <c r="J94" i="6"/>
  <c r="J96" i="6"/>
  <c r="J97" i="6"/>
  <c r="J98" i="6"/>
  <c r="J100" i="6"/>
  <c r="J101" i="6"/>
  <c r="J102" i="6"/>
  <c r="J104" i="6"/>
  <c r="J105" i="6"/>
  <c r="J106" i="6"/>
  <c r="J108" i="6"/>
  <c r="J109" i="6"/>
  <c r="J110" i="6"/>
  <c r="J112" i="6"/>
  <c r="J113" i="6"/>
  <c r="J114" i="6"/>
  <c r="J116" i="6"/>
  <c r="J117" i="6"/>
  <c r="J118" i="6"/>
  <c r="J120" i="6"/>
  <c r="J121" i="6"/>
  <c r="J122" i="6"/>
  <c r="J124" i="6"/>
  <c r="J125" i="6"/>
  <c r="J126" i="6"/>
  <c r="J128" i="6"/>
  <c r="J129" i="6"/>
  <c r="J130" i="6"/>
  <c r="J132" i="6"/>
  <c r="J133" i="6"/>
  <c r="J33" i="6"/>
  <c r="D24" i="6"/>
  <c r="C24" i="6"/>
  <c r="D23" i="6"/>
  <c r="C23" i="6"/>
  <c r="D22" i="6"/>
  <c r="C22" i="6"/>
  <c r="D21" i="6"/>
  <c r="C21" i="6"/>
  <c r="D20" i="6"/>
  <c r="C20" i="6"/>
  <c r="A20" i="6"/>
  <c r="A21" i="6" s="1"/>
  <c r="A22" i="6" s="1"/>
  <c r="A23" i="6" s="1"/>
  <c r="A24" i="6" s="1"/>
  <c r="D19" i="6"/>
  <c r="C19" i="6"/>
  <c r="D18" i="6"/>
  <c r="C18" i="6"/>
  <c r="B13" i="6"/>
  <c r="B12" i="6"/>
  <c r="B11" i="6"/>
  <c r="C11" i="6" s="1"/>
  <c r="B10" i="6"/>
  <c r="B9" i="6"/>
  <c r="T3" i="6" s="1"/>
  <c r="N7" i="6"/>
  <c r="B7" i="6"/>
  <c r="B6" i="6"/>
  <c r="B5" i="6"/>
  <c r="B4" i="6"/>
  <c r="O3" i="6" s="1"/>
  <c r="O4" i="6" s="1"/>
  <c r="B3" i="6"/>
  <c r="S4" i="6" l="1"/>
  <c r="V4" i="6" s="1"/>
  <c r="Q4" i="6"/>
  <c r="O5" i="6"/>
  <c r="O6" i="6" s="1"/>
  <c r="O7" i="6" s="1"/>
  <c r="N8" i="6"/>
  <c r="B8" i="4"/>
  <c r="B4" i="4"/>
  <c r="B9" i="4"/>
  <c r="B10" i="4"/>
  <c r="B3" i="4"/>
  <c r="B13" i="4"/>
  <c r="B12" i="4"/>
  <c r="B11" i="4"/>
  <c r="B7" i="4"/>
  <c r="B6" i="4"/>
  <c r="B5" i="4"/>
  <c r="P4" i="6" l="1"/>
  <c r="S5" i="6" s="1"/>
  <c r="V5" i="6" s="1"/>
  <c r="T4" i="6"/>
  <c r="U4" i="6"/>
  <c r="Q5" i="6"/>
  <c r="R5" i="6"/>
  <c r="N9" i="6"/>
  <c r="O8" i="6"/>
  <c r="C11" i="4"/>
  <c r="J4" i="4"/>
  <c r="C18" i="4"/>
  <c r="D33" i="4"/>
  <c r="C19" i="4"/>
  <c r="D19" i="4"/>
  <c r="C20" i="4"/>
  <c r="D20" i="4"/>
  <c r="C21" i="4"/>
  <c r="D21" i="4"/>
  <c r="C22" i="4"/>
  <c r="D22" i="4"/>
  <c r="C23" i="4"/>
  <c r="D23" i="4"/>
  <c r="C24" i="4"/>
  <c r="D24" i="4"/>
  <c r="D18" i="4"/>
  <c r="P5" i="6" l="1"/>
  <c r="S6" i="6" s="1"/>
  <c r="U5" i="6"/>
  <c r="N10" i="6"/>
  <c r="O9" i="6"/>
  <c r="A21" i="4"/>
  <c r="A22" i="4" s="1"/>
  <c r="A23" i="4" s="1"/>
  <c r="A24" i="4" s="1"/>
  <c r="A20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R6" i="6" l="1"/>
  <c r="Q6" i="6"/>
  <c r="T5" i="6"/>
  <c r="V6" i="6"/>
  <c r="N11" i="6"/>
  <c r="O10" i="6"/>
  <c r="F8" i="4"/>
  <c r="F9" i="4" s="1"/>
  <c r="F7" i="4"/>
  <c r="K3" i="4"/>
  <c r="G3" i="4"/>
  <c r="G4" i="4" s="1"/>
  <c r="J6" i="1"/>
  <c r="J5" i="1"/>
  <c r="J4" i="1"/>
  <c r="C26" i="2"/>
  <c r="C25" i="2"/>
  <c r="C24" i="2"/>
  <c r="C23" i="2"/>
  <c r="C22" i="2"/>
  <c r="C21" i="2"/>
  <c r="C20" i="2"/>
  <c r="M11" i="2"/>
  <c r="M12" i="2" s="1"/>
  <c r="B8" i="2"/>
  <c r="F7" i="2"/>
  <c r="F8" i="2" s="1"/>
  <c r="I3" i="2"/>
  <c r="G3" i="2"/>
  <c r="G4" i="2" s="1"/>
  <c r="P6" i="6" l="1"/>
  <c r="S7" i="6" s="1"/>
  <c r="U6" i="6"/>
  <c r="N12" i="6"/>
  <c r="O11" i="6"/>
  <c r="G5" i="4"/>
  <c r="G6" i="4" s="1"/>
  <c r="G7" i="4" s="1"/>
  <c r="G8" i="4" s="1"/>
  <c r="G9" i="4" s="1"/>
  <c r="I4" i="4"/>
  <c r="F10" i="4"/>
  <c r="G5" i="2"/>
  <c r="G6" i="2" s="1"/>
  <c r="G7" i="2" s="1"/>
  <c r="G8" i="2" s="1"/>
  <c r="H4" i="2"/>
  <c r="F9" i="2"/>
  <c r="I3" i="1"/>
  <c r="C20" i="1"/>
  <c r="R7" i="6" l="1"/>
  <c r="Q7" i="6"/>
  <c r="T6" i="6"/>
  <c r="V7" i="6"/>
  <c r="N13" i="6"/>
  <c r="O12" i="6"/>
  <c r="L4" i="4"/>
  <c r="H4" i="4"/>
  <c r="G10" i="4"/>
  <c r="F11" i="4"/>
  <c r="J4" i="2"/>
  <c r="H5" i="2"/>
  <c r="I4" i="2"/>
  <c r="G9" i="2"/>
  <c r="F10" i="2"/>
  <c r="C21" i="1"/>
  <c r="C22" i="1"/>
  <c r="C23" i="1"/>
  <c r="C24" i="1"/>
  <c r="C25" i="1"/>
  <c r="C26" i="1"/>
  <c r="G3" i="1"/>
  <c r="G4" i="1" s="1"/>
  <c r="B8" i="1"/>
  <c r="J3" i="1" s="1"/>
  <c r="F7" i="1"/>
  <c r="P7" i="6" l="1"/>
  <c r="S8" i="6" s="1"/>
  <c r="U7" i="6"/>
  <c r="O13" i="6"/>
  <c r="N14" i="6"/>
  <c r="F8" i="1"/>
  <c r="J8" i="1" s="1"/>
  <c r="J7" i="1"/>
  <c r="J5" i="4"/>
  <c r="I5" i="4"/>
  <c r="K4" i="4"/>
  <c r="G11" i="4"/>
  <c r="F12" i="4"/>
  <c r="H4" i="1"/>
  <c r="G5" i="1"/>
  <c r="G6" i="1" s="1"/>
  <c r="G7" i="1" s="1"/>
  <c r="G8" i="1" s="1"/>
  <c r="H6" i="2"/>
  <c r="J6" i="2" s="1"/>
  <c r="I5" i="2"/>
  <c r="F11" i="2"/>
  <c r="G10" i="2"/>
  <c r="J5" i="2"/>
  <c r="F9" i="1"/>
  <c r="J9" i="1" s="1"/>
  <c r="R8" i="6" l="1"/>
  <c r="Q8" i="6"/>
  <c r="T7" i="6"/>
  <c r="V8" i="6"/>
  <c r="O14" i="6"/>
  <c r="N15" i="6"/>
  <c r="H5" i="4"/>
  <c r="L5" i="4"/>
  <c r="G12" i="4"/>
  <c r="F13" i="4"/>
  <c r="I4" i="1"/>
  <c r="H5" i="1"/>
  <c r="G11" i="2"/>
  <c r="F12" i="2"/>
  <c r="I6" i="2"/>
  <c r="H7" i="2"/>
  <c r="J7" i="2" s="1"/>
  <c r="G9" i="1"/>
  <c r="F10" i="1"/>
  <c r="J10" i="1" s="1"/>
  <c r="P8" i="6" l="1"/>
  <c r="S9" i="6" s="1"/>
  <c r="U8" i="6"/>
  <c r="O15" i="6"/>
  <c r="N16" i="6"/>
  <c r="I6" i="4"/>
  <c r="L6" i="4" s="1"/>
  <c r="J6" i="4"/>
  <c r="K5" i="4"/>
  <c r="G13" i="4"/>
  <c r="F14" i="4"/>
  <c r="H6" i="1"/>
  <c r="I5" i="1"/>
  <c r="G10" i="1"/>
  <c r="H8" i="2"/>
  <c r="J8" i="2" s="1"/>
  <c r="I7" i="2"/>
  <c r="G12" i="2"/>
  <c r="F13" i="2"/>
  <c r="F11" i="1"/>
  <c r="J11" i="1" s="1"/>
  <c r="R9" i="6" l="1"/>
  <c r="Q9" i="6"/>
  <c r="T8" i="6"/>
  <c r="V9" i="6"/>
  <c r="O16" i="6"/>
  <c r="N17" i="6"/>
  <c r="H6" i="4"/>
  <c r="G14" i="4"/>
  <c r="F15" i="4"/>
  <c r="H7" i="1"/>
  <c r="I6" i="1"/>
  <c r="F14" i="2"/>
  <c r="G13" i="2"/>
  <c r="H9" i="2"/>
  <c r="I8" i="2"/>
  <c r="G11" i="1"/>
  <c r="F12" i="1"/>
  <c r="J12" i="1" s="1"/>
  <c r="P9" i="6" l="1"/>
  <c r="S10" i="6" s="1"/>
  <c r="U9" i="6"/>
  <c r="O17" i="6"/>
  <c r="N18" i="6"/>
  <c r="J7" i="4"/>
  <c r="I7" i="4"/>
  <c r="L7" i="4" s="1"/>
  <c r="K6" i="4"/>
  <c r="G15" i="4"/>
  <c r="F16" i="4"/>
  <c r="I7" i="1"/>
  <c r="H8" i="1"/>
  <c r="H10" i="2"/>
  <c r="I9" i="2"/>
  <c r="G14" i="2"/>
  <c r="F15" i="2"/>
  <c r="J9" i="2"/>
  <c r="G12" i="1"/>
  <c r="F13" i="1"/>
  <c r="J13" i="1" s="1"/>
  <c r="Q10" i="6" l="1"/>
  <c r="R10" i="6"/>
  <c r="T9" i="6"/>
  <c r="V10" i="6"/>
  <c r="O18" i="6"/>
  <c r="N19" i="6"/>
  <c r="H7" i="4"/>
  <c r="G16" i="4"/>
  <c r="F17" i="4"/>
  <c r="I8" i="1"/>
  <c r="H9" i="1"/>
  <c r="H11" i="2"/>
  <c r="I10" i="2"/>
  <c r="F16" i="2"/>
  <c r="G15" i="2"/>
  <c r="J10" i="2"/>
  <c r="G13" i="1"/>
  <c r="F14" i="1"/>
  <c r="J14" i="1" s="1"/>
  <c r="P10" i="6" l="1"/>
  <c r="U10" i="6"/>
  <c r="N20" i="6"/>
  <c r="O19" i="6"/>
  <c r="J8" i="4"/>
  <c r="I8" i="4"/>
  <c r="K7" i="4"/>
  <c r="G17" i="4"/>
  <c r="F18" i="4"/>
  <c r="H10" i="1"/>
  <c r="I9" i="1"/>
  <c r="H12" i="2"/>
  <c r="J12" i="2" s="1"/>
  <c r="I11" i="2"/>
  <c r="G16" i="2"/>
  <c r="F17" i="2"/>
  <c r="J11" i="2"/>
  <c r="G14" i="1"/>
  <c r="F15" i="1"/>
  <c r="J15" i="1" s="1"/>
  <c r="R11" i="6" l="1"/>
  <c r="S11" i="6"/>
  <c r="V11" i="6" s="1"/>
  <c r="Q11" i="6"/>
  <c r="T10" i="6"/>
  <c r="N21" i="6"/>
  <c r="O20" i="6"/>
  <c r="H8" i="4"/>
  <c r="L8" i="4"/>
  <c r="G18" i="4"/>
  <c r="F19" i="4"/>
  <c r="I10" i="1"/>
  <c r="H11" i="1"/>
  <c r="F18" i="2"/>
  <c r="G17" i="2"/>
  <c r="H13" i="2"/>
  <c r="I12" i="2"/>
  <c r="G15" i="1"/>
  <c r="F16" i="1"/>
  <c r="J16" i="1" s="1"/>
  <c r="P11" i="6" l="1"/>
  <c r="S12" i="6" s="1"/>
  <c r="V12" i="6" s="1"/>
  <c r="U11" i="6"/>
  <c r="N22" i="6"/>
  <c r="O21" i="6"/>
  <c r="J9" i="4"/>
  <c r="I9" i="4"/>
  <c r="L9" i="4" s="1"/>
  <c r="K8" i="4"/>
  <c r="F20" i="4"/>
  <c r="G19" i="4"/>
  <c r="I11" i="1"/>
  <c r="H12" i="1"/>
  <c r="H14" i="2"/>
  <c r="I13" i="2"/>
  <c r="G18" i="2"/>
  <c r="F19" i="2"/>
  <c r="J13" i="2"/>
  <c r="G16" i="1"/>
  <c r="F17" i="1"/>
  <c r="J17" i="1" s="1"/>
  <c r="T11" i="6" l="1"/>
  <c r="Q12" i="6"/>
  <c r="R12" i="6"/>
  <c r="N23" i="6"/>
  <c r="O22" i="6"/>
  <c r="G17" i="1"/>
  <c r="H9" i="4"/>
  <c r="F21" i="4"/>
  <c r="G20" i="4"/>
  <c r="I12" i="1"/>
  <c r="H13" i="1"/>
  <c r="H15" i="2"/>
  <c r="J15" i="2" s="1"/>
  <c r="I14" i="2"/>
  <c r="F20" i="2"/>
  <c r="G19" i="2"/>
  <c r="J14" i="2"/>
  <c r="F18" i="1"/>
  <c r="J18" i="1" s="1"/>
  <c r="P12" i="6" l="1"/>
  <c r="S13" i="6" s="1"/>
  <c r="V13" i="6" s="1"/>
  <c r="U12" i="6"/>
  <c r="N24" i="6"/>
  <c r="O23" i="6"/>
  <c r="J10" i="4"/>
  <c r="I10" i="4"/>
  <c r="L10" i="4" s="1"/>
  <c r="K9" i="4"/>
  <c r="G21" i="4"/>
  <c r="F22" i="4"/>
  <c r="I13" i="1"/>
  <c r="H14" i="1"/>
  <c r="F21" i="2"/>
  <c r="G20" i="2"/>
  <c r="H16" i="2"/>
  <c r="J16" i="2" s="1"/>
  <c r="I15" i="2"/>
  <c r="G18" i="1"/>
  <c r="F19" i="1"/>
  <c r="J19" i="1" s="1"/>
  <c r="T12" i="6" l="1"/>
  <c r="Q13" i="6"/>
  <c r="R13" i="6"/>
  <c r="N25" i="6"/>
  <c r="O24" i="6"/>
  <c r="G19" i="1"/>
  <c r="H10" i="4"/>
  <c r="F23" i="4"/>
  <c r="G22" i="4"/>
  <c r="I14" i="1"/>
  <c r="H15" i="1"/>
  <c r="H17" i="2"/>
  <c r="J17" i="2" s="1"/>
  <c r="I16" i="2"/>
  <c r="G21" i="2"/>
  <c r="F22" i="2"/>
  <c r="F20" i="1"/>
  <c r="J20" i="1" s="1"/>
  <c r="P13" i="6" l="1"/>
  <c r="S14" i="6" s="1"/>
  <c r="V14" i="6" s="1"/>
  <c r="U13" i="6"/>
  <c r="N26" i="6"/>
  <c r="O25" i="6"/>
  <c r="K10" i="4"/>
  <c r="I11" i="4"/>
  <c r="L11" i="4" s="1"/>
  <c r="J11" i="4"/>
  <c r="F24" i="4"/>
  <c r="G23" i="4"/>
  <c r="I15" i="1"/>
  <c r="H16" i="1"/>
  <c r="G22" i="2"/>
  <c r="F23" i="2"/>
  <c r="H18" i="2"/>
  <c r="I17" i="2"/>
  <c r="G20" i="1"/>
  <c r="F21" i="1"/>
  <c r="J21" i="1" s="1"/>
  <c r="T13" i="6" l="1"/>
  <c r="R14" i="6"/>
  <c r="Q14" i="6"/>
  <c r="U14" i="6" s="1"/>
  <c r="G21" i="1"/>
  <c r="N27" i="6"/>
  <c r="O26" i="6"/>
  <c r="H11" i="4"/>
  <c r="F25" i="4"/>
  <c r="G24" i="4"/>
  <c r="H17" i="1"/>
  <c r="I16" i="1"/>
  <c r="H19" i="2"/>
  <c r="J19" i="2" s="1"/>
  <c r="I18" i="2"/>
  <c r="J18" i="2"/>
  <c r="F24" i="2"/>
  <c r="G23" i="2"/>
  <c r="F22" i="1"/>
  <c r="J22" i="1" s="1"/>
  <c r="P14" i="6" l="1"/>
  <c r="Q15" i="6" s="1"/>
  <c r="U15" i="6" s="1"/>
  <c r="N28" i="6"/>
  <c r="O27" i="6"/>
  <c r="K11" i="4"/>
  <c r="I12" i="4"/>
  <c r="L12" i="4" s="1"/>
  <c r="J12" i="4"/>
  <c r="G25" i="4"/>
  <c r="F26" i="4"/>
  <c r="H18" i="1"/>
  <c r="I17" i="1"/>
  <c r="F25" i="2"/>
  <c r="G24" i="2"/>
  <c r="H20" i="2"/>
  <c r="J20" i="2" s="1"/>
  <c r="I19" i="2"/>
  <c r="G22" i="1"/>
  <c r="F23" i="1"/>
  <c r="J23" i="1" s="1"/>
  <c r="T14" i="6" l="1"/>
  <c r="S15" i="6"/>
  <c r="V15" i="6" s="1"/>
  <c r="R15" i="6"/>
  <c r="N29" i="6"/>
  <c r="O28" i="6"/>
  <c r="H12" i="4"/>
  <c r="F27" i="4"/>
  <c r="G26" i="4"/>
  <c r="I18" i="1"/>
  <c r="H19" i="1"/>
  <c r="H21" i="2"/>
  <c r="I20" i="2"/>
  <c r="G25" i="2"/>
  <c r="F26" i="2"/>
  <c r="G23" i="1"/>
  <c r="F24" i="1"/>
  <c r="J24" i="1" s="1"/>
  <c r="P15" i="6" l="1"/>
  <c r="S16" i="6" s="1"/>
  <c r="V16" i="6" s="1"/>
  <c r="R16" i="6"/>
  <c r="Q16" i="6"/>
  <c r="U16" i="6" s="1"/>
  <c r="N30" i="6"/>
  <c r="O29" i="6"/>
  <c r="G24" i="1"/>
  <c r="J13" i="4"/>
  <c r="I13" i="4"/>
  <c r="L13" i="4" s="1"/>
  <c r="K12" i="4"/>
  <c r="F28" i="4"/>
  <c r="G27" i="4"/>
  <c r="H20" i="1"/>
  <c r="I19" i="1"/>
  <c r="F27" i="2"/>
  <c r="G26" i="2"/>
  <c r="H22" i="2"/>
  <c r="I21" i="2"/>
  <c r="J21" i="2"/>
  <c r="F25" i="1"/>
  <c r="J25" i="1" s="1"/>
  <c r="T15" i="6" l="1"/>
  <c r="P16" i="6"/>
  <c r="Q17" i="6" s="1"/>
  <c r="U17" i="6" s="1"/>
  <c r="N31" i="6"/>
  <c r="O30" i="6"/>
  <c r="H13" i="4"/>
  <c r="F29" i="4"/>
  <c r="G28" i="4"/>
  <c r="H21" i="1"/>
  <c r="I20" i="1"/>
  <c r="H23" i="2"/>
  <c r="J23" i="2"/>
  <c r="I22" i="2"/>
  <c r="J22" i="2"/>
  <c r="G27" i="2"/>
  <c r="F28" i="2"/>
  <c r="G25" i="1"/>
  <c r="F26" i="1"/>
  <c r="J26" i="1" s="1"/>
  <c r="T16" i="6" l="1"/>
  <c r="R17" i="6"/>
  <c r="S17" i="6"/>
  <c r="V17" i="6" s="1"/>
  <c r="G26" i="1"/>
  <c r="N32" i="6"/>
  <c r="O31" i="6"/>
  <c r="J14" i="4"/>
  <c r="K13" i="4"/>
  <c r="I14" i="4"/>
  <c r="L14" i="4" s="1"/>
  <c r="F30" i="4"/>
  <c r="G29" i="4"/>
  <c r="H22" i="1"/>
  <c r="I21" i="1"/>
  <c r="F29" i="2"/>
  <c r="G28" i="2"/>
  <c r="H24" i="2"/>
  <c r="J24" i="2" s="1"/>
  <c r="I23" i="2"/>
  <c r="F27" i="1"/>
  <c r="P17" i="6" l="1"/>
  <c r="S18" i="6" s="1"/>
  <c r="V18" i="6" s="1"/>
  <c r="N33" i="6"/>
  <c r="O32" i="6"/>
  <c r="G27" i="1"/>
  <c r="J27" i="1"/>
  <c r="H14" i="4"/>
  <c r="F31" i="4"/>
  <c r="G30" i="4"/>
  <c r="H23" i="1"/>
  <c r="I22" i="1"/>
  <c r="H25" i="2"/>
  <c r="J25" i="2" s="1"/>
  <c r="I24" i="2"/>
  <c r="G29" i="2"/>
  <c r="F30" i="2"/>
  <c r="F28" i="1"/>
  <c r="J28" i="1" s="1"/>
  <c r="T17" i="6" l="1"/>
  <c r="R18" i="6"/>
  <c r="Q18" i="6"/>
  <c r="N34" i="6"/>
  <c r="O33" i="6"/>
  <c r="J15" i="4"/>
  <c r="K14" i="4"/>
  <c r="I15" i="4"/>
  <c r="L15" i="4" s="1"/>
  <c r="F32" i="4"/>
  <c r="G31" i="4"/>
  <c r="H24" i="1"/>
  <c r="I23" i="1"/>
  <c r="F31" i="2"/>
  <c r="G30" i="2"/>
  <c r="H26" i="2"/>
  <c r="I25" i="2"/>
  <c r="G28" i="1"/>
  <c r="F29" i="1"/>
  <c r="J29" i="1" s="1"/>
  <c r="P18" i="6" l="1"/>
  <c r="T18" i="6" s="1"/>
  <c r="U18" i="6"/>
  <c r="N35" i="6"/>
  <c r="O34" i="6"/>
  <c r="H15" i="4"/>
  <c r="F33" i="4"/>
  <c r="G32" i="4"/>
  <c r="I24" i="1"/>
  <c r="H25" i="1"/>
  <c r="H27" i="2"/>
  <c r="I26" i="2"/>
  <c r="J26" i="2"/>
  <c r="G31" i="2"/>
  <c r="F32" i="2"/>
  <c r="G29" i="1"/>
  <c r="F30" i="1"/>
  <c r="J30" i="1" s="1"/>
  <c r="Q19" i="6" l="1"/>
  <c r="S19" i="6"/>
  <c r="V19" i="6" s="1"/>
  <c r="R19" i="6"/>
  <c r="N36" i="6"/>
  <c r="O35" i="6"/>
  <c r="J16" i="4"/>
  <c r="K15" i="4"/>
  <c r="I16" i="4"/>
  <c r="L16" i="4" s="1"/>
  <c r="F34" i="4"/>
  <c r="G33" i="4"/>
  <c r="H26" i="1"/>
  <c r="I25" i="1"/>
  <c r="F33" i="2"/>
  <c r="G32" i="2"/>
  <c r="H28" i="2"/>
  <c r="I27" i="2"/>
  <c r="J27" i="2"/>
  <c r="G30" i="1"/>
  <c r="F31" i="1"/>
  <c r="J31" i="1" s="1"/>
  <c r="P19" i="6" l="1"/>
  <c r="T19" i="6" s="1"/>
  <c r="U19" i="6"/>
  <c r="N37" i="6"/>
  <c r="O36" i="6"/>
  <c r="G31" i="1"/>
  <c r="H16" i="4"/>
  <c r="F35" i="4"/>
  <c r="G34" i="4"/>
  <c r="H27" i="1"/>
  <c r="I26" i="1"/>
  <c r="H29" i="2"/>
  <c r="I28" i="2"/>
  <c r="J28" i="2"/>
  <c r="G33" i="2"/>
  <c r="F34" i="2"/>
  <c r="F32" i="1"/>
  <c r="J32" i="1" s="1"/>
  <c r="S20" i="6" l="1"/>
  <c r="V20" i="6" s="1"/>
  <c r="Q20" i="6"/>
  <c r="R20" i="6"/>
  <c r="N38" i="6"/>
  <c r="O37" i="6"/>
  <c r="J17" i="4"/>
  <c r="I17" i="4"/>
  <c r="L17" i="4" s="1"/>
  <c r="K16" i="4"/>
  <c r="F36" i="4"/>
  <c r="G35" i="4"/>
  <c r="I27" i="1"/>
  <c r="H28" i="1"/>
  <c r="F35" i="2"/>
  <c r="G34" i="2"/>
  <c r="H30" i="2"/>
  <c r="I29" i="2"/>
  <c r="J29" i="2"/>
  <c r="G32" i="1"/>
  <c r="F33" i="1"/>
  <c r="J33" i="1" s="1"/>
  <c r="P20" i="6" l="1"/>
  <c r="T20" i="6" s="1"/>
  <c r="U20" i="6"/>
  <c r="N39" i="6"/>
  <c r="O38" i="6"/>
  <c r="H17" i="4"/>
  <c r="F37" i="4"/>
  <c r="G36" i="4"/>
  <c r="H29" i="1"/>
  <c r="I28" i="1"/>
  <c r="H31" i="2"/>
  <c r="I30" i="2"/>
  <c r="J30" i="2"/>
  <c r="G35" i="2"/>
  <c r="F36" i="2"/>
  <c r="G33" i="1"/>
  <c r="F34" i="1"/>
  <c r="J34" i="1" s="1"/>
  <c r="S21" i="6" l="1"/>
  <c r="V21" i="6" s="1"/>
  <c r="R21" i="6"/>
  <c r="Q21" i="6"/>
  <c r="N40" i="6"/>
  <c r="O39" i="6"/>
  <c r="I18" i="4"/>
  <c r="L18" i="4" s="1"/>
  <c r="K17" i="4"/>
  <c r="J18" i="4"/>
  <c r="F38" i="4"/>
  <c r="G37" i="4"/>
  <c r="I29" i="1"/>
  <c r="H30" i="1"/>
  <c r="H32" i="2"/>
  <c r="J32" i="2" s="1"/>
  <c r="I31" i="2"/>
  <c r="F37" i="2"/>
  <c r="G36" i="2"/>
  <c r="J31" i="2"/>
  <c r="G34" i="1"/>
  <c r="G35" i="1" s="1"/>
  <c r="F35" i="1"/>
  <c r="J35" i="1" s="1"/>
  <c r="P21" i="6" l="1"/>
  <c r="U21" i="6"/>
  <c r="N41" i="6"/>
  <c r="O40" i="6"/>
  <c r="H18" i="4"/>
  <c r="F39" i="4"/>
  <c r="G38" i="4"/>
  <c r="I30" i="1"/>
  <c r="H31" i="1"/>
  <c r="G37" i="2"/>
  <c r="F38" i="2"/>
  <c r="H33" i="2"/>
  <c r="J33" i="2" s="1"/>
  <c r="I32" i="2"/>
  <c r="F36" i="1"/>
  <c r="T21" i="6" l="1"/>
  <c r="S22" i="6"/>
  <c r="V22" i="6" s="1"/>
  <c r="Q22" i="6"/>
  <c r="U22" i="6" s="1"/>
  <c r="R22" i="6"/>
  <c r="N42" i="6"/>
  <c r="O41" i="6"/>
  <c r="G36" i="1"/>
  <c r="J36" i="1"/>
  <c r="J19" i="4"/>
  <c r="I19" i="4"/>
  <c r="L19" i="4" s="1"/>
  <c r="K18" i="4"/>
  <c r="F40" i="4"/>
  <c r="G39" i="4"/>
  <c r="I31" i="1"/>
  <c r="H32" i="1"/>
  <c r="F39" i="2"/>
  <c r="G38" i="2"/>
  <c r="H34" i="2"/>
  <c r="I33" i="2"/>
  <c r="F37" i="1"/>
  <c r="J37" i="1" s="1"/>
  <c r="P22" i="6" l="1"/>
  <c r="N43" i="6"/>
  <c r="O42" i="6"/>
  <c r="H19" i="4"/>
  <c r="F41" i="4"/>
  <c r="G40" i="4"/>
  <c r="I32" i="1"/>
  <c r="H33" i="1"/>
  <c r="H35" i="2"/>
  <c r="I34" i="2"/>
  <c r="J34" i="2"/>
  <c r="G39" i="2"/>
  <c r="F40" i="2"/>
  <c r="G37" i="1"/>
  <c r="F38" i="1"/>
  <c r="J38" i="1" s="1"/>
  <c r="S23" i="6" l="1"/>
  <c r="V23" i="6" s="1"/>
  <c r="R23" i="6"/>
  <c r="Q23" i="6"/>
  <c r="U23" i="6" s="1"/>
  <c r="T22" i="6"/>
  <c r="N44" i="6"/>
  <c r="O43" i="6"/>
  <c r="I20" i="4"/>
  <c r="L20" i="4" s="1"/>
  <c r="K19" i="4"/>
  <c r="J20" i="4"/>
  <c r="F42" i="4"/>
  <c r="G41" i="4"/>
  <c r="I33" i="1"/>
  <c r="H34" i="1"/>
  <c r="F41" i="2"/>
  <c r="G40" i="2"/>
  <c r="H36" i="2"/>
  <c r="I35" i="2"/>
  <c r="J35" i="2"/>
  <c r="G38" i="1"/>
  <c r="F39" i="1"/>
  <c r="J39" i="1" s="1"/>
  <c r="P23" i="6" l="1"/>
  <c r="T23" i="6" s="1"/>
  <c r="N45" i="6"/>
  <c r="O44" i="6"/>
  <c r="H20" i="4"/>
  <c r="F43" i="4"/>
  <c r="G42" i="4"/>
  <c r="H35" i="1"/>
  <c r="I34" i="1"/>
  <c r="H37" i="2"/>
  <c r="I36" i="2"/>
  <c r="J36" i="2"/>
  <c r="G41" i="2"/>
  <c r="F42" i="2"/>
  <c r="G39" i="1"/>
  <c r="F40" i="1"/>
  <c r="J40" i="1" s="1"/>
  <c r="S24" i="6" l="1"/>
  <c r="V24" i="6" s="1"/>
  <c r="Q24" i="6"/>
  <c r="U24" i="6" s="1"/>
  <c r="R24" i="6"/>
  <c r="N46" i="6"/>
  <c r="O45" i="6"/>
  <c r="K20" i="4"/>
  <c r="I21" i="4"/>
  <c r="L21" i="4" s="1"/>
  <c r="J21" i="4"/>
  <c r="F44" i="4"/>
  <c r="G43" i="4"/>
  <c r="H36" i="1"/>
  <c r="I35" i="1"/>
  <c r="F43" i="2"/>
  <c r="G42" i="2"/>
  <c r="H38" i="2"/>
  <c r="I37" i="2"/>
  <c r="J37" i="2"/>
  <c r="G40" i="1"/>
  <c r="F41" i="1"/>
  <c r="J41" i="1" s="1"/>
  <c r="P24" i="6" l="1"/>
  <c r="N47" i="6"/>
  <c r="O46" i="6"/>
  <c r="H21" i="4"/>
  <c r="F45" i="4"/>
  <c r="G44" i="4"/>
  <c r="I36" i="1"/>
  <c r="H37" i="1"/>
  <c r="H39" i="2"/>
  <c r="I38" i="2"/>
  <c r="J38" i="2"/>
  <c r="G43" i="2"/>
  <c r="F44" i="2"/>
  <c r="G41" i="1"/>
  <c r="F42" i="1"/>
  <c r="J42" i="1" s="1"/>
  <c r="T24" i="6" l="1"/>
  <c r="S25" i="6"/>
  <c r="V25" i="6" s="1"/>
  <c r="R25" i="6"/>
  <c r="Q25" i="6"/>
  <c r="N48" i="6"/>
  <c r="O47" i="6"/>
  <c r="G42" i="1"/>
  <c r="J22" i="4"/>
  <c r="K21" i="4"/>
  <c r="I22" i="4"/>
  <c r="L22" i="4" s="1"/>
  <c r="F46" i="4"/>
  <c r="G45" i="4"/>
  <c r="I37" i="1"/>
  <c r="H38" i="1"/>
  <c r="F45" i="2"/>
  <c r="G44" i="2"/>
  <c r="H40" i="2"/>
  <c r="I39" i="2"/>
  <c r="J39" i="2"/>
  <c r="F43" i="1"/>
  <c r="J43" i="1" s="1"/>
  <c r="P25" i="6" l="1"/>
  <c r="T25" i="6" s="1"/>
  <c r="U25" i="6"/>
  <c r="N49" i="6"/>
  <c r="O48" i="6"/>
  <c r="H22" i="4"/>
  <c r="F47" i="4"/>
  <c r="G46" i="4"/>
  <c r="I38" i="1"/>
  <c r="H39" i="1"/>
  <c r="H41" i="2"/>
  <c r="I40" i="2"/>
  <c r="J40" i="2"/>
  <c r="G45" i="2"/>
  <c r="F46" i="2"/>
  <c r="G43" i="1"/>
  <c r="F44" i="1"/>
  <c r="J44" i="1" s="1"/>
  <c r="S26" i="6" l="1"/>
  <c r="V26" i="6" s="1"/>
  <c r="R26" i="6"/>
  <c r="Q26" i="6"/>
  <c r="U26" i="6" s="1"/>
  <c r="N50" i="6"/>
  <c r="O49" i="6"/>
  <c r="I23" i="4"/>
  <c r="L23" i="4" s="1"/>
  <c r="K22" i="4"/>
  <c r="J23" i="4"/>
  <c r="F48" i="4"/>
  <c r="G47" i="4"/>
  <c r="I39" i="1"/>
  <c r="H40" i="1"/>
  <c r="F47" i="2"/>
  <c r="G46" i="2"/>
  <c r="H42" i="2"/>
  <c r="I41" i="2"/>
  <c r="J41" i="2"/>
  <c r="G44" i="1"/>
  <c r="F45" i="1"/>
  <c r="J45" i="1" s="1"/>
  <c r="P26" i="6" l="1"/>
  <c r="R27" i="6" s="1"/>
  <c r="N51" i="6"/>
  <c r="O50" i="6"/>
  <c r="H23" i="4"/>
  <c r="F49" i="4"/>
  <c r="G48" i="4"/>
  <c r="I40" i="1"/>
  <c r="H41" i="1"/>
  <c r="H43" i="2"/>
  <c r="I42" i="2"/>
  <c r="J42" i="2"/>
  <c r="G47" i="2"/>
  <c r="F48" i="2"/>
  <c r="G45" i="1"/>
  <c r="F46" i="1"/>
  <c r="J46" i="1" s="1"/>
  <c r="S27" i="6" l="1"/>
  <c r="V27" i="6" s="1"/>
  <c r="T26" i="6"/>
  <c r="Q27" i="6"/>
  <c r="U27" i="6" s="1"/>
  <c r="N52" i="6"/>
  <c r="O51" i="6"/>
  <c r="J24" i="4"/>
  <c r="I24" i="4"/>
  <c r="L24" i="4" s="1"/>
  <c r="K23" i="4"/>
  <c r="F50" i="4"/>
  <c r="G49" i="4"/>
  <c r="H42" i="1"/>
  <c r="I41" i="1"/>
  <c r="F49" i="2"/>
  <c r="G48" i="2"/>
  <c r="H44" i="2"/>
  <c r="I43" i="2"/>
  <c r="J43" i="2"/>
  <c r="G46" i="1"/>
  <c r="F47" i="1"/>
  <c r="J47" i="1" s="1"/>
  <c r="P27" i="6" l="1"/>
  <c r="S28" i="6" s="1"/>
  <c r="V28" i="6" s="1"/>
  <c r="T27" i="6"/>
  <c r="R28" i="6"/>
  <c r="N53" i="6"/>
  <c r="O52" i="6"/>
  <c r="G47" i="1"/>
  <c r="H24" i="4"/>
  <c r="F51" i="4"/>
  <c r="G50" i="4"/>
  <c r="I42" i="1"/>
  <c r="H43" i="1"/>
  <c r="H45" i="2"/>
  <c r="I44" i="2"/>
  <c r="J44" i="2"/>
  <c r="G49" i="2"/>
  <c r="F50" i="2"/>
  <c r="F48" i="1"/>
  <c r="J48" i="1" s="1"/>
  <c r="Q28" i="6" l="1"/>
  <c r="U28" i="6" s="1"/>
  <c r="N54" i="6"/>
  <c r="O53" i="6"/>
  <c r="J25" i="4"/>
  <c r="K24" i="4"/>
  <c r="I25" i="4"/>
  <c r="L25" i="4" s="1"/>
  <c r="F52" i="4"/>
  <c r="G51" i="4"/>
  <c r="H44" i="1"/>
  <c r="I43" i="1"/>
  <c r="H46" i="2"/>
  <c r="J46" i="2" s="1"/>
  <c r="I45" i="2"/>
  <c r="F51" i="2"/>
  <c r="G50" i="2"/>
  <c r="J45" i="2"/>
  <c r="G48" i="1"/>
  <c r="F49" i="1"/>
  <c r="J49" i="1" s="1"/>
  <c r="P28" i="6" l="1"/>
  <c r="N55" i="6"/>
  <c r="O54" i="6"/>
  <c r="H25" i="4"/>
  <c r="F53" i="4"/>
  <c r="G52" i="4"/>
  <c r="H45" i="1"/>
  <c r="I44" i="1"/>
  <c r="G51" i="2"/>
  <c r="F52" i="2"/>
  <c r="H47" i="2"/>
  <c r="I46" i="2"/>
  <c r="G49" i="1"/>
  <c r="F50" i="1"/>
  <c r="J50" i="1" s="1"/>
  <c r="S29" i="6" l="1"/>
  <c r="V29" i="6" s="1"/>
  <c r="Q29" i="6"/>
  <c r="R29" i="6"/>
  <c r="T28" i="6"/>
  <c r="N56" i="6"/>
  <c r="O55" i="6"/>
  <c r="I26" i="4"/>
  <c r="L26" i="4" s="1"/>
  <c r="K25" i="4"/>
  <c r="J26" i="4"/>
  <c r="F54" i="4"/>
  <c r="G53" i="4"/>
  <c r="H46" i="1"/>
  <c r="I45" i="1"/>
  <c r="H48" i="2"/>
  <c r="J48" i="2" s="1"/>
  <c r="I47" i="2"/>
  <c r="J47" i="2"/>
  <c r="F53" i="2"/>
  <c r="G52" i="2"/>
  <c r="G50" i="1"/>
  <c r="F51" i="1"/>
  <c r="J51" i="1" s="1"/>
  <c r="P29" i="6" l="1"/>
  <c r="U29" i="6"/>
  <c r="N57" i="6"/>
  <c r="O56" i="6"/>
  <c r="H26" i="4"/>
  <c r="F55" i="4"/>
  <c r="G54" i="4"/>
  <c r="I46" i="1"/>
  <c r="H47" i="1"/>
  <c r="G53" i="2"/>
  <c r="F54" i="2"/>
  <c r="H49" i="2"/>
  <c r="J49" i="2" s="1"/>
  <c r="I48" i="2"/>
  <c r="G51" i="1"/>
  <c r="F52" i="1"/>
  <c r="J52" i="1" s="1"/>
  <c r="S30" i="6" l="1"/>
  <c r="V30" i="6" s="1"/>
  <c r="T29" i="6"/>
  <c r="R30" i="6"/>
  <c r="Q30" i="6"/>
  <c r="U30" i="6" s="1"/>
  <c r="N58" i="6"/>
  <c r="O57" i="6"/>
  <c r="K26" i="4"/>
  <c r="I27" i="4"/>
  <c r="L27" i="4" s="1"/>
  <c r="J27" i="4"/>
  <c r="F56" i="4"/>
  <c r="G55" i="4"/>
  <c r="I47" i="1"/>
  <c r="H48" i="1"/>
  <c r="F55" i="2"/>
  <c r="G54" i="2"/>
  <c r="H50" i="2"/>
  <c r="I49" i="2"/>
  <c r="G52" i="1"/>
  <c r="F53" i="1"/>
  <c r="J53" i="1" s="1"/>
  <c r="P30" i="6" l="1"/>
  <c r="N59" i="6"/>
  <c r="O58" i="6"/>
  <c r="H27" i="4"/>
  <c r="F57" i="4"/>
  <c r="G56" i="4"/>
  <c r="H49" i="1"/>
  <c r="I48" i="1"/>
  <c r="H51" i="2"/>
  <c r="I50" i="2"/>
  <c r="J50" i="2"/>
  <c r="G55" i="2"/>
  <c r="F56" i="2"/>
  <c r="G53" i="1"/>
  <c r="F54" i="1"/>
  <c r="J54" i="1" s="1"/>
  <c r="T30" i="6" l="1"/>
  <c r="Q31" i="6"/>
  <c r="U31" i="6" s="1"/>
  <c r="S31" i="6"/>
  <c r="V31" i="6" s="1"/>
  <c r="R31" i="6"/>
  <c r="N60" i="6"/>
  <c r="O59" i="6"/>
  <c r="J28" i="4"/>
  <c r="I28" i="4"/>
  <c r="L28" i="4" s="1"/>
  <c r="K27" i="4"/>
  <c r="F58" i="4"/>
  <c r="G57" i="4"/>
  <c r="I49" i="1"/>
  <c r="H50" i="1"/>
  <c r="H52" i="2"/>
  <c r="J52" i="2" s="1"/>
  <c r="I51" i="2"/>
  <c r="F57" i="2"/>
  <c r="G56" i="2"/>
  <c r="J51" i="2"/>
  <c r="G54" i="1"/>
  <c r="F55" i="1"/>
  <c r="J55" i="1" s="1"/>
  <c r="P31" i="6" l="1"/>
  <c r="N61" i="6"/>
  <c r="O60" i="6"/>
  <c r="G55" i="1"/>
  <c r="H28" i="4"/>
  <c r="F59" i="4"/>
  <c r="G58" i="4"/>
  <c r="I50" i="1"/>
  <c r="H51" i="1"/>
  <c r="G57" i="2"/>
  <c r="F58" i="2"/>
  <c r="H53" i="2"/>
  <c r="J53" i="2" s="1"/>
  <c r="I52" i="2"/>
  <c r="F56" i="1"/>
  <c r="R32" i="6" l="1"/>
  <c r="T31" i="6"/>
  <c r="S32" i="6"/>
  <c r="V32" i="6" s="1"/>
  <c r="Q32" i="6"/>
  <c r="U32" i="6" s="1"/>
  <c r="N62" i="6"/>
  <c r="O61" i="6"/>
  <c r="G56" i="1"/>
  <c r="J56" i="1"/>
  <c r="I29" i="4"/>
  <c r="L29" i="4" s="1"/>
  <c r="K28" i="4"/>
  <c r="J29" i="4"/>
  <c r="F60" i="4"/>
  <c r="G59" i="4"/>
  <c r="I51" i="1"/>
  <c r="H52" i="1"/>
  <c r="F59" i="2"/>
  <c r="G58" i="2"/>
  <c r="H54" i="2"/>
  <c r="J54" i="2" s="1"/>
  <c r="I53" i="2"/>
  <c r="F57" i="1"/>
  <c r="J57" i="1" s="1"/>
  <c r="P32" i="6" l="1"/>
  <c r="N63" i="6"/>
  <c r="N64" i="6" s="1"/>
  <c r="N65" i="6" s="1"/>
  <c r="N66" i="6" s="1"/>
  <c r="N67" i="6" s="1"/>
  <c r="N68" i="6" s="1"/>
  <c r="N69" i="6" s="1"/>
  <c r="N70" i="6" s="1"/>
  <c r="N71" i="6" s="1"/>
  <c r="N72" i="6" s="1"/>
  <c r="N73" i="6" s="1"/>
  <c r="N74" i="6" s="1"/>
  <c r="N75" i="6" s="1"/>
  <c r="N76" i="6" s="1"/>
  <c r="N77" i="6" s="1"/>
  <c r="N78" i="6" s="1"/>
  <c r="N79" i="6" s="1"/>
  <c r="N80" i="6" s="1"/>
  <c r="N81" i="6" s="1"/>
  <c r="N82" i="6" s="1"/>
  <c r="N83" i="6" s="1"/>
  <c r="N84" i="6" s="1"/>
  <c r="N85" i="6" s="1"/>
  <c r="N86" i="6" s="1"/>
  <c r="N87" i="6" s="1"/>
  <c r="N88" i="6" s="1"/>
  <c r="N89" i="6" s="1"/>
  <c r="N90" i="6" s="1"/>
  <c r="N91" i="6" s="1"/>
  <c r="N92" i="6" s="1"/>
  <c r="N93" i="6" s="1"/>
  <c r="N94" i="6" s="1"/>
  <c r="N95" i="6" s="1"/>
  <c r="N96" i="6" s="1"/>
  <c r="N97" i="6" s="1"/>
  <c r="N98" i="6" s="1"/>
  <c r="N99" i="6" s="1"/>
  <c r="N100" i="6" s="1"/>
  <c r="N101" i="6" s="1"/>
  <c r="N102" i="6" s="1"/>
  <c r="N103" i="6" s="1"/>
  <c r="N104" i="6" s="1"/>
  <c r="N105" i="6" s="1"/>
  <c r="N106" i="6" s="1"/>
  <c r="N107" i="6" s="1"/>
  <c r="N108" i="6" s="1"/>
  <c r="N109" i="6" s="1"/>
  <c r="N110" i="6" s="1"/>
  <c r="N111" i="6" s="1"/>
  <c r="N112" i="6" s="1"/>
  <c r="N113" i="6" s="1"/>
  <c r="N114" i="6" s="1"/>
  <c r="N115" i="6" s="1"/>
  <c r="N116" i="6" s="1"/>
  <c r="N117" i="6" s="1"/>
  <c r="N118" i="6" s="1"/>
  <c r="N119" i="6" s="1"/>
  <c r="N120" i="6" s="1"/>
  <c r="N121" i="6" s="1"/>
  <c r="O62" i="6"/>
  <c r="H29" i="4"/>
  <c r="F61" i="4"/>
  <c r="G60" i="4"/>
  <c r="H53" i="1"/>
  <c r="I52" i="1"/>
  <c r="H55" i="2"/>
  <c r="I54" i="2"/>
  <c r="F60" i="2"/>
  <c r="G59" i="2"/>
  <c r="G57" i="1"/>
  <c r="F58" i="1"/>
  <c r="J58" i="1" s="1"/>
  <c r="S33" i="6" l="1"/>
  <c r="V33" i="6" s="1"/>
  <c r="R33" i="6"/>
  <c r="Q33" i="6"/>
  <c r="U33" i="6" s="1"/>
  <c r="T32" i="6"/>
  <c r="N122" i="6"/>
  <c r="O63" i="6"/>
  <c r="O64" i="6" s="1"/>
  <c r="O65" i="6" s="1"/>
  <c r="O66" i="6" s="1"/>
  <c r="O67" i="6" s="1"/>
  <c r="O68" i="6" s="1"/>
  <c r="O69" i="6" s="1"/>
  <c r="O70" i="6" s="1"/>
  <c r="O71" i="6" s="1"/>
  <c r="O72" i="6" s="1"/>
  <c r="O73" i="6" s="1"/>
  <c r="O74" i="6" s="1"/>
  <c r="O75" i="6" s="1"/>
  <c r="O76" i="6" s="1"/>
  <c r="O77" i="6" s="1"/>
  <c r="O78" i="6" s="1"/>
  <c r="O79" i="6" s="1"/>
  <c r="O80" i="6" s="1"/>
  <c r="O81" i="6" s="1"/>
  <c r="O82" i="6" s="1"/>
  <c r="O83" i="6" s="1"/>
  <c r="O84" i="6" s="1"/>
  <c r="O85" i="6" s="1"/>
  <c r="O86" i="6" s="1"/>
  <c r="O87" i="6" s="1"/>
  <c r="O88" i="6" s="1"/>
  <c r="O89" i="6" s="1"/>
  <c r="O90" i="6" s="1"/>
  <c r="O91" i="6" s="1"/>
  <c r="O92" i="6" s="1"/>
  <c r="O93" i="6" s="1"/>
  <c r="O94" i="6" s="1"/>
  <c r="O95" i="6" s="1"/>
  <c r="O96" i="6" s="1"/>
  <c r="O97" i="6" s="1"/>
  <c r="O98" i="6" s="1"/>
  <c r="O99" i="6" s="1"/>
  <c r="O100" i="6" s="1"/>
  <c r="O101" i="6" s="1"/>
  <c r="O102" i="6" s="1"/>
  <c r="O103" i="6" s="1"/>
  <c r="O104" i="6" s="1"/>
  <c r="O105" i="6" s="1"/>
  <c r="O106" i="6" s="1"/>
  <c r="O107" i="6" s="1"/>
  <c r="O108" i="6" s="1"/>
  <c r="O109" i="6" s="1"/>
  <c r="O110" i="6" s="1"/>
  <c r="O111" i="6" s="1"/>
  <c r="O112" i="6" s="1"/>
  <c r="O113" i="6" s="1"/>
  <c r="O114" i="6" s="1"/>
  <c r="O115" i="6" s="1"/>
  <c r="O116" i="6" s="1"/>
  <c r="O117" i="6" s="1"/>
  <c r="O118" i="6" s="1"/>
  <c r="O119" i="6" s="1"/>
  <c r="O120" i="6" s="1"/>
  <c r="O121" i="6" s="1"/>
  <c r="J30" i="4"/>
  <c r="I30" i="4"/>
  <c r="L30" i="4" s="1"/>
  <c r="K29" i="4"/>
  <c r="F62" i="4"/>
  <c r="G61" i="4"/>
  <c r="I53" i="1"/>
  <c r="H54" i="1"/>
  <c r="H56" i="2"/>
  <c r="J56" i="2" s="1"/>
  <c r="I55" i="2"/>
  <c r="F61" i="2"/>
  <c r="G60" i="2"/>
  <c r="J55" i="2"/>
  <c r="G58" i="1"/>
  <c r="F59" i="1"/>
  <c r="J59" i="1" s="1"/>
  <c r="P33" i="6" l="1"/>
  <c r="N123" i="6"/>
  <c r="O122" i="6"/>
  <c r="G59" i="1"/>
  <c r="H30" i="4"/>
  <c r="F63" i="4"/>
  <c r="G62" i="4"/>
  <c r="I54" i="1"/>
  <c r="H55" i="1"/>
  <c r="F62" i="2"/>
  <c r="G61" i="2"/>
  <c r="H57" i="2"/>
  <c r="J57" i="2" s="1"/>
  <c r="I56" i="2"/>
  <c r="F60" i="1"/>
  <c r="J60" i="1" s="1"/>
  <c r="S34" i="6" l="1"/>
  <c r="V34" i="6" s="1"/>
  <c r="T33" i="6"/>
  <c r="R34" i="6"/>
  <c r="Q34" i="6"/>
  <c r="U34" i="6" s="1"/>
  <c r="N124" i="6"/>
  <c r="O123" i="6"/>
  <c r="J31" i="4"/>
  <c r="I31" i="4"/>
  <c r="L31" i="4" s="1"/>
  <c r="K30" i="4"/>
  <c r="G63" i="4"/>
  <c r="I55" i="1"/>
  <c r="H56" i="1"/>
  <c r="F63" i="2"/>
  <c r="G62" i="2"/>
  <c r="H58" i="2"/>
  <c r="I57" i="2"/>
  <c r="G60" i="1"/>
  <c r="F61" i="1"/>
  <c r="J61" i="1" s="1"/>
  <c r="P34" i="6" l="1"/>
  <c r="O124" i="6"/>
  <c r="N125" i="6"/>
  <c r="H31" i="4"/>
  <c r="I56" i="1"/>
  <c r="H57" i="1"/>
  <c r="H59" i="2"/>
  <c r="I58" i="2"/>
  <c r="J58" i="2"/>
  <c r="I63" i="2"/>
  <c r="G63" i="2"/>
  <c r="G61" i="1"/>
  <c r="F62" i="1"/>
  <c r="J62" i="1" s="1"/>
  <c r="R35" i="6" l="1"/>
  <c r="Q35" i="6"/>
  <c r="U35" i="6" s="1"/>
  <c r="S35" i="6"/>
  <c r="V35" i="6" s="1"/>
  <c r="T34" i="6"/>
  <c r="N126" i="6"/>
  <c r="O125" i="6"/>
  <c r="I32" i="4"/>
  <c r="L32" i="4" s="1"/>
  <c r="K31" i="4"/>
  <c r="J32" i="4"/>
  <c r="I57" i="1"/>
  <c r="H58" i="1"/>
  <c r="H60" i="2"/>
  <c r="J60" i="2" s="1"/>
  <c r="I59" i="2"/>
  <c r="J59" i="2"/>
  <c r="G62" i="1"/>
  <c r="F63" i="1"/>
  <c r="J63" i="1" s="1"/>
  <c r="P35" i="6" l="1"/>
  <c r="N127" i="6"/>
  <c r="O126" i="6"/>
  <c r="H32" i="4"/>
  <c r="H59" i="1"/>
  <c r="I58" i="1"/>
  <c r="H61" i="2"/>
  <c r="J61" i="2" s="1"/>
  <c r="I60" i="2"/>
  <c r="G63" i="1"/>
  <c r="T35" i="6" l="1"/>
  <c r="Q36" i="6"/>
  <c r="U36" i="6" s="1"/>
  <c r="R36" i="6"/>
  <c r="P36" i="6" s="1"/>
  <c r="S36" i="6"/>
  <c r="V36" i="6" s="1"/>
  <c r="N128" i="6"/>
  <c r="O127" i="6"/>
  <c r="I33" i="4"/>
  <c r="L33" i="4" s="1"/>
  <c r="K32" i="4"/>
  <c r="J33" i="4"/>
  <c r="H60" i="1"/>
  <c r="I59" i="1"/>
  <c r="H62" i="2"/>
  <c r="I61" i="2"/>
  <c r="Q37" i="6" l="1"/>
  <c r="U37" i="6" s="1"/>
  <c r="T36" i="6"/>
  <c r="R37" i="6"/>
  <c r="S37" i="6"/>
  <c r="V37" i="6" s="1"/>
  <c r="O128" i="6"/>
  <c r="N129" i="6"/>
  <c r="H33" i="4"/>
  <c r="H61" i="1"/>
  <c r="I60" i="1"/>
  <c r="J63" i="2"/>
  <c r="K63" i="2" s="1"/>
  <c r="I62" i="2"/>
  <c r="J62" i="2"/>
  <c r="P37" i="6" l="1"/>
  <c r="N130" i="6"/>
  <c r="O129" i="6"/>
  <c r="J34" i="4"/>
  <c r="I34" i="4"/>
  <c r="L34" i="4" s="1"/>
  <c r="K33" i="4"/>
  <c r="H62" i="1"/>
  <c r="I61" i="1"/>
  <c r="K62" i="2"/>
  <c r="K61" i="2" s="1"/>
  <c r="K60" i="2" s="1"/>
  <c r="K59" i="2" s="1"/>
  <c r="K58" i="2" s="1"/>
  <c r="K57" i="2" s="1"/>
  <c r="K56" i="2" s="1"/>
  <c r="K55" i="2" s="1"/>
  <c r="K54" i="2" s="1"/>
  <c r="K53" i="2" s="1"/>
  <c r="K52" i="2" s="1"/>
  <c r="K51" i="2" s="1"/>
  <c r="K50" i="2" s="1"/>
  <c r="K49" i="2" s="1"/>
  <c r="K48" i="2" s="1"/>
  <c r="K47" i="2" s="1"/>
  <c r="K46" i="2" s="1"/>
  <c r="K45" i="2" s="1"/>
  <c r="K44" i="2" s="1"/>
  <c r="K43" i="2" s="1"/>
  <c r="K42" i="2" s="1"/>
  <c r="K41" i="2" s="1"/>
  <c r="K40" i="2" s="1"/>
  <c r="K39" i="2" s="1"/>
  <c r="K38" i="2" s="1"/>
  <c r="K37" i="2" s="1"/>
  <c r="K36" i="2" s="1"/>
  <c r="K35" i="2" s="1"/>
  <c r="K34" i="2" s="1"/>
  <c r="K33" i="2" s="1"/>
  <c r="K32" i="2" s="1"/>
  <c r="K31" i="2" s="1"/>
  <c r="K30" i="2" s="1"/>
  <c r="K29" i="2" s="1"/>
  <c r="K28" i="2" s="1"/>
  <c r="K27" i="2" s="1"/>
  <c r="K26" i="2" s="1"/>
  <c r="K25" i="2" s="1"/>
  <c r="K24" i="2" s="1"/>
  <c r="K23" i="2" s="1"/>
  <c r="K22" i="2" s="1"/>
  <c r="K21" i="2" s="1"/>
  <c r="K20" i="2" s="1"/>
  <c r="K19" i="2" s="1"/>
  <c r="K18" i="2" s="1"/>
  <c r="K17" i="2" s="1"/>
  <c r="K16" i="2" s="1"/>
  <c r="K15" i="2" s="1"/>
  <c r="K14" i="2" s="1"/>
  <c r="K13" i="2" s="1"/>
  <c r="K12" i="2" s="1"/>
  <c r="K11" i="2" s="1"/>
  <c r="K10" i="2" s="1"/>
  <c r="K9" i="2" s="1"/>
  <c r="K8" i="2" s="1"/>
  <c r="K7" i="2" s="1"/>
  <c r="K6" i="2" s="1"/>
  <c r="K5" i="2" s="1"/>
  <c r="K4" i="2" s="1"/>
  <c r="K3" i="2" s="1"/>
  <c r="T37" i="6" l="1"/>
  <c r="R38" i="6"/>
  <c r="S38" i="6"/>
  <c r="V38" i="6" s="1"/>
  <c r="Q38" i="6"/>
  <c r="U38" i="6" s="1"/>
  <c r="O130" i="6"/>
  <c r="N131" i="6"/>
  <c r="I62" i="1"/>
  <c r="H63" i="1"/>
  <c r="I63" i="1" s="1"/>
  <c r="L63" i="1" s="1"/>
  <c r="H34" i="4"/>
  <c r="P38" i="6" l="1"/>
  <c r="N132" i="6"/>
  <c r="O131" i="6"/>
  <c r="L62" i="1"/>
  <c r="L61" i="1" s="1"/>
  <c r="L60" i="1" s="1"/>
  <c r="L59" i="1" s="1"/>
  <c r="L58" i="1" s="1"/>
  <c r="L57" i="1" s="1"/>
  <c r="L56" i="1" s="1"/>
  <c r="L55" i="1" s="1"/>
  <c r="L54" i="1" s="1"/>
  <c r="L53" i="1" s="1"/>
  <c r="L52" i="1" s="1"/>
  <c r="L51" i="1" s="1"/>
  <c r="L50" i="1" s="1"/>
  <c r="L49" i="1" s="1"/>
  <c r="L48" i="1" s="1"/>
  <c r="L47" i="1" s="1"/>
  <c r="L46" i="1" s="1"/>
  <c r="L45" i="1" s="1"/>
  <c r="L44" i="1" s="1"/>
  <c r="L43" i="1" s="1"/>
  <c r="L42" i="1" s="1"/>
  <c r="L41" i="1" s="1"/>
  <c r="L40" i="1" s="1"/>
  <c r="L39" i="1" s="1"/>
  <c r="L38" i="1" s="1"/>
  <c r="L37" i="1" s="1"/>
  <c r="L36" i="1" s="1"/>
  <c r="L35" i="1" s="1"/>
  <c r="L34" i="1" s="1"/>
  <c r="L33" i="1" s="1"/>
  <c r="L32" i="1" s="1"/>
  <c r="L31" i="1" s="1"/>
  <c r="L30" i="1" s="1"/>
  <c r="L29" i="1" s="1"/>
  <c r="L28" i="1" s="1"/>
  <c r="L27" i="1" s="1"/>
  <c r="L26" i="1" s="1"/>
  <c r="L25" i="1" s="1"/>
  <c r="L24" i="1" s="1"/>
  <c r="L23" i="1" s="1"/>
  <c r="L22" i="1" s="1"/>
  <c r="L21" i="1" s="1"/>
  <c r="L20" i="1" s="1"/>
  <c r="L19" i="1" s="1"/>
  <c r="L18" i="1" s="1"/>
  <c r="L17" i="1" s="1"/>
  <c r="L16" i="1" s="1"/>
  <c r="L15" i="1" s="1"/>
  <c r="L14" i="1" s="1"/>
  <c r="L13" i="1" s="1"/>
  <c r="L12" i="1" s="1"/>
  <c r="L11" i="1" s="1"/>
  <c r="L10" i="1" s="1"/>
  <c r="L9" i="1" s="1"/>
  <c r="L8" i="1" s="1"/>
  <c r="L7" i="1" s="1"/>
  <c r="L6" i="1" s="1"/>
  <c r="L5" i="1" s="1"/>
  <c r="L4" i="1" s="1"/>
  <c r="L3" i="1" s="1"/>
  <c r="I35" i="4"/>
  <c r="L35" i="4" s="1"/>
  <c r="K34" i="4"/>
  <c r="J35" i="4"/>
  <c r="Q39" i="6" l="1"/>
  <c r="U39" i="6" s="1"/>
  <c r="T38" i="6"/>
  <c r="R39" i="6"/>
  <c r="S39" i="6"/>
  <c r="V39" i="6" s="1"/>
  <c r="O132" i="6"/>
  <c r="N133" i="6"/>
  <c r="H35" i="4"/>
  <c r="P39" i="6" l="1"/>
  <c r="O133" i="6"/>
  <c r="J36" i="4"/>
  <c r="I36" i="4"/>
  <c r="L36" i="4" s="1"/>
  <c r="K35" i="4"/>
  <c r="T39" i="6" l="1"/>
  <c r="R40" i="6"/>
  <c r="S40" i="6"/>
  <c r="V40" i="6" s="1"/>
  <c r="Q40" i="6"/>
  <c r="U40" i="6" s="1"/>
  <c r="H36" i="4"/>
  <c r="P40" i="6" l="1"/>
  <c r="J37" i="4"/>
  <c r="I37" i="4"/>
  <c r="L37" i="4" s="1"/>
  <c r="K36" i="4"/>
  <c r="Q41" i="6" l="1"/>
  <c r="U41" i="6" s="1"/>
  <c r="T40" i="6"/>
  <c r="S41" i="6"/>
  <c r="V41" i="6" s="1"/>
  <c r="R41" i="6"/>
  <c r="H37" i="4"/>
  <c r="P41" i="6" l="1"/>
  <c r="I38" i="4"/>
  <c r="L38" i="4" s="1"/>
  <c r="K37" i="4"/>
  <c r="J38" i="4"/>
  <c r="R42" i="6" l="1"/>
  <c r="T41" i="6"/>
  <c r="S42" i="6"/>
  <c r="V42" i="6" s="1"/>
  <c r="Q42" i="6"/>
  <c r="U42" i="6" s="1"/>
  <c r="H38" i="4"/>
  <c r="P42" i="6" l="1"/>
  <c r="I39" i="4"/>
  <c r="L39" i="4" s="1"/>
  <c r="K38" i="4"/>
  <c r="J39" i="4"/>
  <c r="R43" i="6" l="1"/>
  <c r="T42" i="6"/>
  <c r="S43" i="6"/>
  <c r="V43" i="6" s="1"/>
  <c r="Q43" i="6"/>
  <c r="U43" i="6" s="1"/>
  <c r="H39" i="4"/>
  <c r="P43" i="6" l="1"/>
  <c r="J40" i="4"/>
  <c r="I40" i="4"/>
  <c r="L40" i="4" s="1"/>
  <c r="K39" i="4"/>
  <c r="S44" i="6" l="1"/>
  <c r="V44" i="6" s="1"/>
  <c r="Q44" i="6"/>
  <c r="U44" i="6" s="1"/>
  <c r="R44" i="6"/>
  <c r="T43" i="6"/>
  <c r="H40" i="4"/>
  <c r="P44" i="6" l="1"/>
  <c r="K40" i="4"/>
  <c r="J41" i="4"/>
  <c r="I41" i="4"/>
  <c r="L41" i="4" s="1"/>
  <c r="S45" i="6" l="1"/>
  <c r="V45" i="6" s="1"/>
  <c r="Q45" i="6"/>
  <c r="U45" i="6" s="1"/>
  <c r="T44" i="6"/>
  <c r="R45" i="6"/>
  <c r="H41" i="4"/>
  <c r="P45" i="6" l="1"/>
  <c r="I42" i="4"/>
  <c r="L42" i="4" s="1"/>
  <c r="K41" i="4"/>
  <c r="J42" i="4"/>
  <c r="Q46" i="6" l="1"/>
  <c r="U46" i="6" s="1"/>
  <c r="R46" i="6"/>
  <c r="T45" i="6"/>
  <c r="S46" i="6"/>
  <c r="V46" i="6" s="1"/>
  <c r="H42" i="4"/>
  <c r="P46" i="6" l="1"/>
  <c r="J43" i="4"/>
  <c r="I43" i="4"/>
  <c r="L43" i="4" s="1"/>
  <c r="K42" i="4"/>
  <c r="R47" i="6" l="1"/>
  <c r="S47" i="6"/>
  <c r="V47" i="6" s="1"/>
  <c r="Q47" i="6"/>
  <c r="U47" i="6" s="1"/>
  <c r="T46" i="6"/>
  <c r="H43" i="4"/>
  <c r="P47" i="6" l="1"/>
  <c r="J44" i="4"/>
  <c r="I44" i="4"/>
  <c r="L44" i="4" s="1"/>
  <c r="K43" i="4"/>
  <c r="T47" i="6" l="1"/>
  <c r="S48" i="6"/>
  <c r="V48" i="6" s="1"/>
  <c r="Q48" i="6"/>
  <c r="U48" i="6" s="1"/>
  <c r="R48" i="6"/>
  <c r="H44" i="4"/>
  <c r="P48" i="6" l="1"/>
  <c r="K44" i="4"/>
  <c r="I45" i="4"/>
  <c r="L45" i="4" s="1"/>
  <c r="J45" i="4"/>
  <c r="T48" i="6" l="1"/>
  <c r="Q49" i="6"/>
  <c r="U49" i="6" s="1"/>
  <c r="R49" i="6"/>
  <c r="S49" i="6"/>
  <c r="V49" i="6" s="1"/>
  <c r="H45" i="4"/>
  <c r="P49" i="6" l="1"/>
  <c r="J46" i="4"/>
  <c r="I46" i="4"/>
  <c r="L46" i="4" s="1"/>
  <c r="K45" i="4"/>
  <c r="R50" i="6" l="1"/>
  <c r="T49" i="6"/>
  <c r="S50" i="6"/>
  <c r="V50" i="6" s="1"/>
  <c r="Q50" i="6"/>
  <c r="U50" i="6" s="1"/>
  <c r="H46" i="4"/>
  <c r="P50" i="6" l="1"/>
  <c r="J47" i="4"/>
  <c r="I47" i="4"/>
  <c r="L47" i="4" s="1"/>
  <c r="K46" i="4"/>
  <c r="Q51" i="6" l="1"/>
  <c r="U51" i="6" s="1"/>
  <c r="T50" i="6"/>
  <c r="R51" i="6"/>
  <c r="P51" i="6" s="1"/>
  <c r="S51" i="6"/>
  <c r="V51" i="6" s="1"/>
  <c r="H47" i="4"/>
  <c r="R52" i="6" l="1"/>
  <c r="S52" i="6"/>
  <c r="V52" i="6" s="1"/>
  <c r="Q52" i="6"/>
  <c r="U52" i="6" s="1"/>
  <c r="T51" i="6"/>
  <c r="J48" i="4"/>
  <c r="I48" i="4"/>
  <c r="L48" i="4" s="1"/>
  <c r="K47" i="4"/>
  <c r="P52" i="6" l="1"/>
  <c r="H48" i="4"/>
  <c r="T52" i="6" l="1"/>
  <c r="Q53" i="6"/>
  <c r="U53" i="6" s="1"/>
  <c r="S53" i="6"/>
  <c r="V53" i="6" s="1"/>
  <c r="R53" i="6"/>
  <c r="J49" i="4"/>
  <c r="I49" i="4"/>
  <c r="L49" i="4" s="1"/>
  <c r="K48" i="4"/>
  <c r="P53" i="6" l="1"/>
  <c r="H49" i="4"/>
  <c r="Q54" i="6" l="1"/>
  <c r="U54" i="6" s="1"/>
  <c r="T53" i="6"/>
  <c r="S54" i="6"/>
  <c r="V54" i="6" s="1"/>
  <c r="R54" i="6"/>
  <c r="P54" i="6" s="1"/>
  <c r="J50" i="4"/>
  <c r="I50" i="4"/>
  <c r="L50" i="4" s="1"/>
  <c r="K49" i="4"/>
  <c r="R55" i="6" l="1"/>
  <c r="T54" i="6"/>
  <c r="Q55" i="6"/>
  <c r="S55" i="6"/>
  <c r="V55" i="6" s="1"/>
  <c r="H50" i="4"/>
  <c r="P55" i="6" l="1"/>
  <c r="U55" i="6"/>
  <c r="K50" i="4"/>
  <c r="I51" i="4"/>
  <c r="L51" i="4" s="1"/>
  <c r="J51" i="4"/>
  <c r="Q56" i="6" l="1"/>
  <c r="U56" i="6" s="1"/>
  <c r="S56" i="6"/>
  <c r="V56" i="6" s="1"/>
  <c r="R56" i="6"/>
  <c r="T55" i="6"/>
  <c r="H51" i="4"/>
  <c r="P56" i="6" l="1"/>
  <c r="J52" i="4"/>
  <c r="I52" i="4"/>
  <c r="L52" i="4" s="1"/>
  <c r="K51" i="4"/>
  <c r="S57" i="6" l="1"/>
  <c r="V57" i="6" s="1"/>
  <c r="Q57" i="6"/>
  <c r="R57" i="6"/>
  <c r="T56" i="6"/>
  <c r="H52" i="4"/>
  <c r="P57" i="6" l="1"/>
  <c r="U57" i="6"/>
  <c r="J53" i="4"/>
  <c r="I53" i="4"/>
  <c r="L53" i="4" s="1"/>
  <c r="K52" i="4"/>
  <c r="R58" i="6" l="1"/>
  <c r="Q58" i="6"/>
  <c r="U58" i="6" s="1"/>
  <c r="S58" i="6"/>
  <c r="T57" i="6"/>
  <c r="H53" i="4"/>
  <c r="P58" i="6" l="1"/>
  <c r="V58" i="6"/>
  <c r="J54" i="4"/>
  <c r="I54" i="4"/>
  <c r="L54" i="4" s="1"/>
  <c r="K53" i="4"/>
  <c r="Q59" i="6" l="1"/>
  <c r="U59" i="6" s="1"/>
  <c r="R59" i="6"/>
  <c r="S59" i="6"/>
  <c r="V59" i="6" s="1"/>
  <c r="T58" i="6"/>
  <c r="H54" i="4"/>
  <c r="P59" i="6" l="1"/>
  <c r="I55" i="4"/>
  <c r="L55" i="4" s="1"/>
  <c r="J55" i="4"/>
  <c r="K54" i="4"/>
  <c r="S60" i="6" l="1"/>
  <c r="V60" i="6" s="1"/>
  <c r="R60" i="6"/>
  <c r="Q60" i="6"/>
  <c r="T59" i="6"/>
  <c r="H55" i="4"/>
  <c r="P60" i="6" l="1"/>
  <c r="U60" i="6"/>
  <c r="J56" i="4"/>
  <c r="I56" i="4"/>
  <c r="L56" i="4" s="1"/>
  <c r="K55" i="4"/>
  <c r="S61" i="6" l="1"/>
  <c r="V61" i="6" s="1"/>
  <c r="R61" i="6"/>
  <c r="Q61" i="6"/>
  <c r="U61" i="6" s="1"/>
  <c r="T60" i="6"/>
  <c r="H56" i="4"/>
  <c r="P61" i="6" l="1"/>
  <c r="I57" i="4"/>
  <c r="L57" i="4" s="1"/>
  <c r="K56" i="4"/>
  <c r="J57" i="4"/>
  <c r="S62" i="6" l="1"/>
  <c r="V62" i="6" s="1"/>
  <c r="Q62" i="6"/>
  <c r="U62" i="6" s="1"/>
  <c r="R62" i="6"/>
  <c r="P62" i="6"/>
  <c r="T61" i="6"/>
  <c r="H57" i="4"/>
  <c r="Q63" i="6" l="1"/>
  <c r="U63" i="6" s="1"/>
  <c r="S63" i="6"/>
  <c r="V63" i="6" s="1"/>
  <c r="R63" i="6"/>
  <c r="T62" i="6"/>
  <c r="I58" i="4"/>
  <c r="L58" i="4" s="1"/>
  <c r="K57" i="4"/>
  <c r="J58" i="4"/>
  <c r="P63" i="6" l="1"/>
  <c r="H58" i="4"/>
  <c r="S64" i="6" l="1"/>
  <c r="V64" i="6" s="1"/>
  <c r="Q64" i="6"/>
  <c r="U64" i="6" s="1"/>
  <c r="R64" i="6"/>
  <c r="T63" i="6"/>
  <c r="J59" i="4"/>
  <c r="I59" i="4"/>
  <c r="L59" i="4" s="1"/>
  <c r="K58" i="4"/>
  <c r="P64" i="6" l="1"/>
  <c r="H59" i="4"/>
  <c r="Q65" i="6" l="1"/>
  <c r="U65" i="6" s="1"/>
  <c r="R65" i="6"/>
  <c r="S65" i="6"/>
  <c r="V65" i="6" s="1"/>
  <c r="T64" i="6"/>
  <c r="K59" i="4"/>
  <c r="I60" i="4"/>
  <c r="L60" i="4" s="1"/>
  <c r="J60" i="4"/>
  <c r="P65" i="6" l="1"/>
  <c r="H60" i="4"/>
  <c r="S66" i="6" l="1"/>
  <c r="V66" i="6" s="1"/>
  <c r="R66" i="6"/>
  <c r="Q66" i="6"/>
  <c r="T65" i="6"/>
  <c r="I61" i="4"/>
  <c r="L61" i="4" s="1"/>
  <c r="K60" i="4"/>
  <c r="J61" i="4"/>
  <c r="P66" i="6" l="1"/>
  <c r="U66" i="6"/>
  <c r="H61" i="4"/>
  <c r="J62" i="4" s="1"/>
  <c r="Q67" i="6" l="1"/>
  <c r="U67" i="6" s="1"/>
  <c r="R67" i="6"/>
  <c r="S67" i="6"/>
  <c r="T66" i="6"/>
  <c r="K61" i="4"/>
  <c r="I62" i="4"/>
  <c r="L62" i="4" s="1"/>
  <c r="P67" i="6" l="1"/>
  <c r="V67" i="6"/>
  <c r="H62" i="4"/>
  <c r="K62" i="4" s="1"/>
  <c r="Q68" i="6" l="1"/>
  <c r="R68" i="6"/>
  <c r="S68" i="6"/>
  <c r="V68" i="6" s="1"/>
  <c r="T67" i="6"/>
  <c r="J63" i="4"/>
  <c r="I63" i="4"/>
  <c r="L63" i="4" s="1"/>
  <c r="N63" i="4" s="1"/>
  <c r="N62" i="4" s="1"/>
  <c r="N61" i="4" s="1"/>
  <c r="N60" i="4" s="1"/>
  <c r="N59" i="4" s="1"/>
  <c r="N58" i="4" s="1"/>
  <c r="N57" i="4" s="1"/>
  <c r="N56" i="4" s="1"/>
  <c r="N55" i="4" s="1"/>
  <c r="N54" i="4" s="1"/>
  <c r="N53" i="4" s="1"/>
  <c r="N52" i="4" s="1"/>
  <c r="N51" i="4" s="1"/>
  <c r="N50" i="4" s="1"/>
  <c r="N49" i="4" s="1"/>
  <c r="N48" i="4" s="1"/>
  <c r="N47" i="4" s="1"/>
  <c r="N46" i="4" s="1"/>
  <c r="N45" i="4" s="1"/>
  <c r="N44" i="4" s="1"/>
  <c r="N43" i="4" s="1"/>
  <c r="N42" i="4" s="1"/>
  <c r="N41" i="4" s="1"/>
  <c r="N40" i="4" s="1"/>
  <c r="N39" i="4" s="1"/>
  <c r="N38" i="4" s="1"/>
  <c r="N37" i="4" s="1"/>
  <c r="N36" i="4" s="1"/>
  <c r="N35" i="4" s="1"/>
  <c r="N34" i="4" s="1"/>
  <c r="N33" i="4" s="1"/>
  <c r="N32" i="4" s="1"/>
  <c r="N31" i="4" s="1"/>
  <c r="N30" i="4" s="1"/>
  <c r="N29" i="4" s="1"/>
  <c r="N28" i="4" s="1"/>
  <c r="N27" i="4" s="1"/>
  <c r="N26" i="4" s="1"/>
  <c r="N25" i="4" s="1"/>
  <c r="N24" i="4" s="1"/>
  <c r="N23" i="4" s="1"/>
  <c r="N22" i="4" s="1"/>
  <c r="N21" i="4" s="1"/>
  <c r="N20" i="4" s="1"/>
  <c r="N19" i="4" s="1"/>
  <c r="N18" i="4" s="1"/>
  <c r="N17" i="4" s="1"/>
  <c r="N16" i="4" s="1"/>
  <c r="N15" i="4" s="1"/>
  <c r="N14" i="4" s="1"/>
  <c r="N13" i="4" s="1"/>
  <c r="N12" i="4" s="1"/>
  <c r="N11" i="4" s="1"/>
  <c r="N10" i="4" s="1"/>
  <c r="P68" i="6" l="1"/>
  <c r="U68" i="6"/>
  <c r="N9" i="4"/>
  <c r="N8" i="4" s="1"/>
  <c r="N7" i="4" s="1"/>
  <c r="N6" i="4" s="1"/>
  <c r="N5" i="4" s="1"/>
  <c r="N4" i="4" s="1"/>
  <c r="N3" i="4" s="1"/>
  <c r="H63" i="4"/>
  <c r="S69" i="6" l="1"/>
  <c r="V69" i="6" s="1"/>
  <c r="Q69" i="6"/>
  <c r="R69" i="6"/>
  <c r="T68" i="6"/>
  <c r="P69" i="6" l="1"/>
  <c r="U69" i="6"/>
  <c r="S70" i="6" l="1"/>
  <c r="V70" i="6" s="1"/>
  <c r="Q70" i="6"/>
  <c r="R70" i="6"/>
  <c r="T69" i="6"/>
  <c r="P70" i="6" l="1"/>
  <c r="U70" i="6"/>
  <c r="S71" i="6" l="1"/>
  <c r="V71" i="6" s="1"/>
  <c r="Q71" i="6"/>
  <c r="U71" i="6" s="1"/>
  <c r="R71" i="6"/>
  <c r="T70" i="6"/>
  <c r="P71" i="6" l="1"/>
  <c r="Q72" i="6" l="1"/>
  <c r="U72" i="6" s="1"/>
  <c r="R72" i="6"/>
  <c r="S72" i="6"/>
  <c r="V72" i="6" s="1"/>
  <c r="T71" i="6"/>
  <c r="P72" i="6" l="1"/>
  <c r="Q73" i="6" l="1"/>
  <c r="U73" i="6" s="1"/>
  <c r="S73" i="6"/>
  <c r="V73" i="6" s="1"/>
  <c r="R73" i="6"/>
  <c r="T72" i="6"/>
  <c r="P73" i="6" l="1"/>
  <c r="S74" i="6" l="1"/>
  <c r="V74" i="6" s="1"/>
  <c r="Q74" i="6"/>
  <c r="U74" i="6" s="1"/>
  <c r="R74" i="6"/>
  <c r="T73" i="6"/>
  <c r="P74" i="6" l="1"/>
  <c r="R75" i="6" l="1"/>
  <c r="P75" i="6" s="1"/>
  <c r="S75" i="6"/>
  <c r="V75" i="6" s="1"/>
  <c r="Q75" i="6"/>
  <c r="U75" i="6" s="1"/>
  <c r="T74" i="6"/>
  <c r="Q76" i="6" l="1"/>
  <c r="U76" i="6" s="1"/>
  <c r="R76" i="6"/>
  <c r="S76" i="6"/>
  <c r="T75" i="6"/>
  <c r="P76" i="6" l="1"/>
  <c r="V76" i="6"/>
  <c r="Q77" i="6" l="1"/>
  <c r="U77" i="6" s="1"/>
  <c r="S77" i="6"/>
  <c r="V77" i="6" s="1"/>
  <c r="R77" i="6"/>
  <c r="P77" i="6" s="1"/>
  <c r="T76" i="6"/>
  <c r="R78" i="6" l="1"/>
  <c r="Q78" i="6"/>
  <c r="U78" i="6" s="1"/>
  <c r="S78" i="6"/>
  <c r="V78" i="6" s="1"/>
  <c r="T77" i="6"/>
  <c r="P78" i="6" l="1"/>
  <c r="S79" i="6" l="1"/>
  <c r="V79" i="6" s="1"/>
  <c r="Q79" i="6"/>
  <c r="U79" i="6" s="1"/>
  <c r="R79" i="6"/>
  <c r="T78" i="6"/>
  <c r="P79" i="6" l="1"/>
  <c r="Q80" i="6" l="1"/>
  <c r="U80" i="6" s="1"/>
  <c r="S80" i="6"/>
  <c r="V80" i="6" s="1"/>
  <c r="R80" i="6"/>
  <c r="T79" i="6"/>
  <c r="P80" i="6" l="1"/>
  <c r="Q81" i="6" l="1"/>
  <c r="U81" i="6" s="1"/>
  <c r="S81" i="6"/>
  <c r="V81" i="6" s="1"/>
  <c r="R81" i="6"/>
  <c r="T80" i="6"/>
  <c r="P81" i="6" l="1"/>
  <c r="R82" i="6" l="1"/>
  <c r="Q82" i="6"/>
  <c r="U82" i="6" s="1"/>
  <c r="S82" i="6"/>
  <c r="V82" i="6" s="1"/>
  <c r="T81" i="6"/>
  <c r="P82" i="6" l="1"/>
  <c r="R83" i="6" l="1"/>
  <c r="Q83" i="6"/>
  <c r="U83" i="6" s="1"/>
  <c r="S83" i="6"/>
  <c r="V83" i="6" s="1"/>
  <c r="T82" i="6"/>
  <c r="P83" i="6" l="1"/>
  <c r="Q84" i="6" l="1"/>
  <c r="U84" i="6" s="1"/>
  <c r="S84" i="6"/>
  <c r="V84" i="6" s="1"/>
  <c r="R84" i="6"/>
  <c r="T83" i="6"/>
  <c r="P84" i="6" l="1"/>
  <c r="R85" i="6" l="1"/>
  <c r="S85" i="6"/>
  <c r="V85" i="6" s="1"/>
  <c r="Q85" i="6"/>
  <c r="U85" i="6" s="1"/>
  <c r="T84" i="6"/>
  <c r="P85" i="6" l="1"/>
  <c r="R86" i="6" l="1"/>
  <c r="P86" i="6" s="1"/>
  <c r="S86" i="6"/>
  <c r="V86" i="6" s="1"/>
  <c r="Q86" i="6"/>
  <c r="U86" i="6" s="1"/>
  <c r="T85" i="6"/>
  <c r="R87" i="6" l="1"/>
  <c r="S87" i="6"/>
  <c r="V87" i="6" s="1"/>
  <c r="Q87" i="6"/>
  <c r="U87" i="6" s="1"/>
  <c r="T86" i="6"/>
  <c r="P87" i="6" l="1"/>
  <c r="Q88" i="6" l="1"/>
  <c r="U88" i="6" s="1"/>
  <c r="S88" i="6"/>
  <c r="V88" i="6" s="1"/>
  <c r="R88" i="6"/>
  <c r="P88" i="6" s="1"/>
  <c r="T87" i="6"/>
  <c r="R89" i="6" l="1"/>
  <c r="S89" i="6"/>
  <c r="V89" i="6" s="1"/>
  <c r="Q89" i="6"/>
  <c r="U89" i="6" s="1"/>
  <c r="P89" i="6"/>
  <c r="T88" i="6"/>
  <c r="R90" i="6" l="1"/>
  <c r="Q90" i="6"/>
  <c r="U90" i="6" s="1"/>
  <c r="S90" i="6"/>
  <c r="V90" i="6" s="1"/>
  <c r="P90" i="6"/>
  <c r="T89" i="6"/>
  <c r="S91" i="6" l="1"/>
  <c r="V91" i="6" s="1"/>
  <c r="R91" i="6"/>
  <c r="Q91" i="6"/>
  <c r="U91" i="6" s="1"/>
  <c r="P91" i="6"/>
  <c r="T90" i="6"/>
  <c r="Q92" i="6" l="1"/>
  <c r="U92" i="6" s="1"/>
  <c r="R92" i="6"/>
  <c r="P92" i="6" s="1"/>
  <c r="T91" i="6"/>
  <c r="S92" i="6"/>
  <c r="V92" i="6" s="1"/>
  <c r="T92" i="6" l="1"/>
  <c r="S93" i="6"/>
  <c r="V93" i="6" s="1"/>
  <c r="Q93" i="6"/>
  <c r="U93" i="6" s="1"/>
  <c r="R93" i="6"/>
  <c r="P93" i="6" l="1"/>
  <c r="S94" i="6" l="1"/>
  <c r="V94" i="6" s="1"/>
  <c r="R94" i="6"/>
  <c r="T93" i="6"/>
  <c r="Q94" i="6"/>
  <c r="U94" i="6" s="1"/>
  <c r="P94" i="6" l="1"/>
  <c r="S95" i="6" l="1"/>
  <c r="V95" i="6" s="1"/>
  <c r="Q95" i="6"/>
  <c r="U95" i="6" s="1"/>
  <c r="T94" i="6"/>
  <c r="R95" i="6"/>
  <c r="P95" i="6" l="1"/>
  <c r="S96" i="6" l="1"/>
  <c r="V96" i="6" s="1"/>
  <c r="Q96" i="6"/>
  <c r="U96" i="6" s="1"/>
  <c r="T95" i="6"/>
  <c r="R96" i="6"/>
  <c r="P96" i="6" l="1"/>
  <c r="T96" i="6" l="1"/>
  <c r="R97" i="6"/>
  <c r="S97" i="6"/>
  <c r="V97" i="6" s="1"/>
  <c r="Q97" i="6"/>
  <c r="U97" i="6" s="1"/>
  <c r="P97" i="6" l="1"/>
  <c r="R98" i="6" l="1"/>
  <c r="T97" i="6"/>
  <c r="S98" i="6"/>
  <c r="V98" i="6" s="1"/>
  <c r="Q98" i="6"/>
  <c r="U98" i="6" s="1"/>
  <c r="P98" i="6" l="1"/>
  <c r="Q99" i="6" l="1"/>
  <c r="U99" i="6" s="1"/>
  <c r="T98" i="6"/>
  <c r="R99" i="6"/>
  <c r="P99" i="6" s="1"/>
  <c r="S99" i="6"/>
  <c r="V99" i="6" s="1"/>
  <c r="R100" i="6" l="1"/>
  <c r="Q100" i="6"/>
  <c r="U100" i="6" s="1"/>
  <c r="T99" i="6"/>
  <c r="S100" i="6"/>
  <c r="V100" i="6" s="1"/>
  <c r="P100" i="6" l="1"/>
  <c r="R101" i="6" l="1"/>
  <c r="S101" i="6"/>
  <c r="V101" i="6" s="1"/>
  <c r="T100" i="6"/>
  <c r="Q101" i="6"/>
  <c r="U101" i="6" s="1"/>
  <c r="P101" i="6" l="1"/>
  <c r="R102" i="6" l="1"/>
  <c r="Q102" i="6"/>
  <c r="U102" i="6" s="1"/>
  <c r="T101" i="6"/>
  <c r="S102" i="6"/>
  <c r="V102" i="6" s="1"/>
  <c r="P102" i="6" l="1"/>
  <c r="T102" i="6" l="1"/>
  <c r="R103" i="6"/>
  <c r="Q103" i="6"/>
  <c r="U103" i="6" s="1"/>
  <c r="S103" i="6"/>
  <c r="V103" i="6" s="1"/>
  <c r="P103" i="6" l="1"/>
  <c r="T103" i="6" l="1"/>
  <c r="S104" i="6"/>
  <c r="V104" i="6" s="1"/>
  <c r="Q104" i="6"/>
  <c r="U104" i="6" s="1"/>
  <c r="R104" i="6"/>
  <c r="P104" i="6" l="1"/>
  <c r="S105" i="6" l="1"/>
  <c r="V105" i="6" s="1"/>
  <c r="T104" i="6"/>
  <c r="R105" i="6"/>
  <c r="Q105" i="6"/>
  <c r="U105" i="6" s="1"/>
  <c r="P105" i="6" l="1"/>
  <c r="T105" i="6" l="1"/>
  <c r="Q106" i="6"/>
  <c r="U106" i="6" s="1"/>
  <c r="S106" i="6"/>
  <c r="V106" i="6" s="1"/>
  <c r="R106" i="6"/>
  <c r="P106" i="6" l="1"/>
  <c r="T106" i="6" l="1"/>
  <c r="S107" i="6"/>
  <c r="V107" i="6" s="1"/>
  <c r="Q107" i="6"/>
  <c r="U107" i="6" s="1"/>
  <c r="R107" i="6"/>
  <c r="P107" i="6" l="1"/>
  <c r="S108" i="6" l="1"/>
  <c r="V108" i="6" s="1"/>
  <c r="T107" i="6"/>
  <c r="Q108" i="6"/>
  <c r="U108" i="6" s="1"/>
  <c r="R108" i="6"/>
  <c r="P108" i="6" l="1"/>
  <c r="Q109" i="6" l="1"/>
  <c r="U109" i="6" s="1"/>
  <c r="R109" i="6"/>
  <c r="P109" i="6" s="1"/>
  <c r="S109" i="6"/>
  <c r="V109" i="6" s="1"/>
  <c r="T108" i="6"/>
  <c r="R110" i="6" l="1"/>
  <c r="T109" i="6"/>
  <c r="S110" i="6"/>
  <c r="V110" i="6" s="1"/>
  <c r="Q110" i="6"/>
  <c r="U110" i="6" s="1"/>
  <c r="P110" i="6" l="1"/>
  <c r="Q111" i="6" l="1"/>
  <c r="U111" i="6" s="1"/>
  <c r="P111" i="6"/>
  <c r="S111" i="6"/>
  <c r="V111" i="6" s="1"/>
  <c r="R111" i="6"/>
  <c r="T110" i="6"/>
  <c r="S112" i="6" l="1"/>
  <c r="V112" i="6" s="1"/>
  <c r="T111" i="6"/>
  <c r="R112" i="6"/>
  <c r="Q112" i="6"/>
  <c r="U112" i="6" s="1"/>
  <c r="P112" i="6" l="1"/>
  <c r="T112" i="6" l="1"/>
  <c r="Q113" i="6"/>
  <c r="U113" i="6" s="1"/>
  <c r="R113" i="6"/>
  <c r="S113" i="6"/>
  <c r="V113" i="6" s="1"/>
  <c r="P113" i="6" l="1"/>
  <c r="Q114" i="6" l="1"/>
  <c r="U114" i="6" s="1"/>
  <c r="T113" i="6"/>
  <c r="R114" i="6"/>
  <c r="P114" i="6" s="1"/>
  <c r="S114" i="6"/>
  <c r="V114" i="6" s="1"/>
  <c r="Q115" i="6" l="1"/>
  <c r="U115" i="6" s="1"/>
  <c r="R115" i="6"/>
  <c r="P115" i="6" s="1"/>
  <c r="S115" i="6"/>
  <c r="V115" i="6" s="1"/>
  <c r="T114" i="6"/>
  <c r="T115" i="6" l="1"/>
  <c r="S116" i="6"/>
  <c r="V116" i="6" s="1"/>
  <c r="R116" i="6"/>
  <c r="Q116" i="6"/>
  <c r="U116" i="6" s="1"/>
  <c r="P116" i="6" l="1"/>
  <c r="S117" i="6" l="1"/>
  <c r="V117" i="6" s="1"/>
  <c r="T116" i="6"/>
  <c r="Q117" i="6"/>
  <c r="U117" i="6" s="1"/>
  <c r="R117" i="6"/>
  <c r="P117" i="6" l="1"/>
  <c r="S118" i="6" l="1"/>
  <c r="V118" i="6" s="1"/>
  <c r="T117" i="6"/>
  <c r="Q118" i="6"/>
  <c r="U118" i="6" s="1"/>
  <c r="R118" i="6"/>
  <c r="P118" i="6" l="1"/>
  <c r="S119" i="6" l="1"/>
  <c r="V119" i="6" s="1"/>
  <c r="Q119" i="6"/>
  <c r="U119" i="6" s="1"/>
  <c r="T118" i="6"/>
  <c r="R119" i="6"/>
  <c r="P119" i="6" l="1"/>
  <c r="S120" i="6" l="1"/>
  <c r="V120" i="6" s="1"/>
  <c r="Q120" i="6"/>
  <c r="U120" i="6" s="1"/>
  <c r="R120" i="6"/>
  <c r="T119" i="6"/>
  <c r="P120" i="6" l="1"/>
  <c r="S121" i="6" l="1"/>
  <c r="V121" i="6" s="1"/>
  <c r="R121" i="6"/>
  <c r="T120" i="6"/>
  <c r="Q121" i="6"/>
  <c r="U121" i="6" s="1"/>
  <c r="P121" i="6" l="1"/>
  <c r="Q122" i="6" l="1"/>
  <c r="U122" i="6" s="1"/>
  <c r="R122" i="6"/>
  <c r="P122" i="6" s="1"/>
  <c r="S122" i="6"/>
  <c r="V122" i="6" s="1"/>
  <c r="T121" i="6"/>
  <c r="S123" i="6" l="1"/>
  <c r="V123" i="6" s="1"/>
  <c r="R123" i="6"/>
  <c r="T122" i="6"/>
  <c r="Q123" i="6"/>
  <c r="U123" i="6" s="1"/>
  <c r="P123" i="6" l="1"/>
  <c r="T123" i="6" l="1"/>
  <c r="S124" i="6"/>
  <c r="V124" i="6" s="1"/>
  <c r="R124" i="6"/>
  <c r="Q124" i="6"/>
  <c r="U124" i="6" s="1"/>
  <c r="P124" i="6" l="1"/>
  <c r="T124" i="6" l="1"/>
  <c r="S125" i="6"/>
  <c r="V125" i="6" s="1"/>
  <c r="Q125" i="6"/>
  <c r="U125" i="6" s="1"/>
  <c r="R125" i="6"/>
  <c r="P125" i="6" l="1"/>
  <c r="R126" i="6" l="1"/>
  <c r="S126" i="6"/>
  <c r="V126" i="6" s="1"/>
  <c r="T125" i="6"/>
  <c r="Q126" i="6"/>
  <c r="U126" i="6" s="1"/>
  <c r="P126" i="6" l="1"/>
  <c r="Q127" i="6" l="1"/>
  <c r="U127" i="6" s="1"/>
  <c r="R127" i="6"/>
  <c r="P127" i="6" s="1"/>
  <c r="T126" i="6"/>
  <c r="S127" i="6"/>
  <c r="V127" i="6" s="1"/>
  <c r="Q128" i="6" l="1"/>
  <c r="U128" i="6" s="1"/>
  <c r="T127" i="6"/>
  <c r="R128" i="6"/>
  <c r="P128" i="6" s="1"/>
  <c r="S128" i="6"/>
  <c r="V128" i="6" s="1"/>
  <c r="Q129" i="6" l="1"/>
  <c r="U129" i="6" s="1"/>
  <c r="S129" i="6"/>
  <c r="V129" i="6" s="1"/>
  <c r="R129" i="6"/>
  <c r="P129" i="6" s="1"/>
  <c r="T128" i="6"/>
  <c r="Q130" i="6" l="1"/>
  <c r="U130" i="6" s="1"/>
  <c r="S130" i="6"/>
  <c r="V130" i="6" s="1"/>
  <c r="R130" i="6"/>
  <c r="P130" i="6" s="1"/>
  <c r="T129" i="6"/>
  <c r="S131" i="6" l="1"/>
  <c r="V131" i="6" s="1"/>
  <c r="R131" i="6"/>
  <c r="T130" i="6"/>
  <c r="Q131" i="6"/>
  <c r="U131" i="6" s="1"/>
  <c r="P131" i="6" l="1"/>
  <c r="S132" i="6" l="1"/>
  <c r="V132" i="6" s="1"/>
  <c r="R132" i="6"/>
  <c r="T131" i="6"/>
  <c r="Q132" i="6"/>
  <c r="U132" i="6" s="1"/>
  <c r="P132" i="6" l="1"/>
  <c r="S133" i="6" l="1"/>
  <c r="V133" i="6" s="1"/>
  <c r="R133" i="6"/>
  <c r="T132" i="6"/>
  <c r="Q133" i="6"/>
  <c r="U133" i="6" s="1"/>
  <c r="P133" i="6" l="1"/>
  <c r="T133" i="6" s="1"/>
  <c r="W133" i="6" s="1"/>
  <c r="W132" i="6" s="1"/>
  <c r="W131" i="6" s="1"/>
  <c r="W130" i="6" s="1"/>
  <c r="W129" i="6" s="1"/>
  <c r="W128" i="6" s="1"/>
  <c r="W127" i="6" s="1"/>
  <c r="W126" i="6" s="1"/>
  <c r="W125" i="6" s="1"/>
  <c r="W124" i="6" s="1"/>
  <c r="W123" i="6" s="1"/>
  <c r="W122" i="6" s="1"/>
  <c r="W121" i="6" s="1"/>
  <c r="W120" i="6" s="1"/>
  <c r="W119" i="6" s="1"/>
  <c r="W118" i="6" s="1"/>
  <c r="W117" i="6" s="1"/>
  <c r="W116" i="6" s="1"/>
  <c r="W115" i="6" s="1"/>
  <c r="W114" i="6" s="1"/>
  <c r="W113" i="6" s="1"/>
  <c r="W112" i="6" s="1"/>
  <c r="W111" i="6" s="1"/>
  <c r="W110" i="6" s="1"/>
  <c r="W109" i="6" s="1"/>
  <c r="W108" i="6" s="1"/>
  <c r="W107" i="6" s="1"/>
  <c r="W106" i="6" s="1"/>
  <c r="W105" i="6" s="1"/>
  <c r="W104" i="6" s="1"/>
  <c r="W103" i="6" s="1"/>
  <c r="W102" i="6" s="1"/>
  <c r="W101" i="6" s="1"/>
  <c r="W100" i="6" s="1"/>
  <c r="W99" i="6" s="1"/>
  <c r="W98" i="6" s="1"/>
  <c r="W97" i="6" s="1"/>
  <c r="W96" i="6" s="1"/>
  <c r="W95" i="6" s="1"/>
  <c r="W94" i="6" s="1"/>
  <c r="W93" i="6" s="1"/>
  <c r="W92" i="6" s="1"/>
  <c r="W91" i="6" s="1"/>
  <c r="W90" i="6" s="1"/>
  <c r="W89" i="6" s="1"/>
  <c r="W88" i="6" s="1"/>
  <c r="W87" i="6" s="1"/>
  <c r="W86" i="6" s="1"/>
  <c r="W85" i="6" s="1"/>
  <c r="W84" i="6" s="1"/>
  <c r="W83" i="6" s="1"/>
  <c r="W82" i="6" s="1"/>
  <c r="W81" i="6" s="1"/>
  <c r="W80" i="6" s="1"/>
  <c r="W79" i="6" s="1"/>
  <c r="W78" i="6" s="1"/>
  <c r="W77" i="6" s="1"/>
  <c r="W76" i="6" s="1"/>
  <c r="W75" i="6" s="1"/>
  <c r="W74" i="6" s="1"/>
  <c r="W73" i="6" s="1"/>
  <c r="W72" i="6" s="1"/>
  <c r="W71" i="6" s="1"/>
  <c r="W70" i="6" s="1"/>
  <c r="W69" i="6" s="1"/>
  <c r="W68" i="6" s="1"/>
  <c r="W67" i="6" s="1"/>
  <c r="W66" i="6" s="1"/>
  <c r="W65" i="6" s="1"/>
  <c r="W64" i="6" s="1"/>
  <c r="W63" i="6" s="1"/>
  <c r="W62" i="6" s="1"/>
  <c r="W61" i="6" s="1"/>
  <c r="W60" i="6" s="1"/>
  <c r="W59" i="6" s="1"/>
  <c r="W58" i="6" s="1"/>
  <c r="W57" i="6" s="1"/>
  <c r="W56" i="6" s="1"/>
  <c r="W55" i="6" s="1"/>
  <c r="W54" i="6" s="1"/>
  <c r="W53" i="6" s="1"/>
  <c r="W52" i="6" s="1"/>
  <c r="W51" i="6" s="1"/>
  <c r="W50" i="6" s="1"/>
  <c r="W49" i="6" s="1"/>
  <c r="W48" i="6" s="1"/>
  <c r="W47" i="6" s="1"/>
  <c r="W46" i="6" s="1"/>
  <c r="W45" i="6" s="1"/>
  <c r="W44" i="6" s="1"/>
  <c r="W43" i="6" s="1"/>
  <c r="W42" i="6" s="1"/>
  <c r="W41" i="6" s="1"/>
  <c r="W40" i="6" s="1"/>
  <c r="W39" i="6" s="1"/>
  <c r="W38" i="6" s="1"/>
  <c r="W37" i="6" s="1"/>
  <c r="W36" i="6" s="1"/>
  <c r="W35" i="6" s="1"/>
  <c r="W34" i="6" s="1"/>
  <c r="W33" i="6" s="1"/>
  <c r="W32" i="6" s="1"/>
  <c r="W31" i="6" s="1"/>
  <c r="W30" i="6" s="1"/>
  <c r="W29" i="6" s="1"/>
  <c r="W28" i="6" s="1"/>
  <c r="W27" i="6" s="1"/>
  <c r="W26" i="6" s="1"/>
  <c r="W25" i="6" s="1"/>
  <c r="W24" i="6" s="1"/>
  <c r="W23" i="6" s="1"/>
  <c r="W22" i="6" s="1"/>
  <c r="W21" i="6" s="1"/>
  <c r="W20" i="6" s="1"/>
  <c r="W19" i="6" s="1"/>
  <c r="W18" i="6" s="1"/>
  <c r="W17" i="6" s="1"/>
  <c r="W16" i="6" s="1"/>
  <c r="W15" i="6" s="1"/>
  <c r="W14" i="6" s="1"/>
  <c r="W13" i="6" s="1"/>
  <c r="W12" i="6" s="1"/>
  <c r="W11" i="6" s="1"/>
  <c r="W10" i="6" s="1"/>
  <c r="W9" i="6" s="1"/>
  <c r="W8" i="6" s="1"/>
  <c r="W7" i="6" s="1"/>
  <c r="W6" i="6" s="1"/>
  <c r="W5" i="6" s="1"/>
  <c r="W4" i="6" s="1"/>
  <c r="W3" i="6" s="1"/>
</calcChain>
</file>

<file path=xl/sharedStrings.xml><?xml version="1.0" encoding="utf-8"?>
<sst xmlns="http://schemas.openxmlformats.org/spreadsheetml/2006/main" count="435" uniqueCount="44">
  <si>
    <t>AGE_AT_ENTRY</t>
  </si>
  <si>
    <t>SEX</t>
  </si>
  <si>
    <t>SMOKE_STATUS</t>
  </si>
  <si>
    <t>DUR_M</t>
  </si>
  <si>
    <t>POL_ID</t>
  </si>
  <si>
    <t>00001</t>
  </si>
  <si>
    <t>M</t>
  </si>
  <si>
    <t>N</t>
  </si>
  <si>
    <t>Description</t>
  </si>
  <si>
    <t>POL_TERM_M</t>
  </si>
  <si>
    <t>time</t>
  </si>
  <si>
    <t>Premium Received</t>
  </si>
  <si>
    <t>Expected claims</t>
  </si>
  <si>
    <t>PREMIUM</t>
  </si>
  <si>
    <t>No. of Policies</t>
  </si>
  <si>
    <t>Age</t>
  </si>
  <si>
    <t>Mortality Table</t>
  </si>
  <si>
    <t>Rate</t>
  </si>
  <si>
    <t>Monthly Rate</t>
  </si>
  <si>
    <t>SUM_ASSD</t>
  </si>
  <si>
    <t>Risk-free Interest rate</t>
  </si>
  <si>
    <t>Reserve</t>
  </si>
  <si>
    <t>Monthly Discount rate</t>
  </si>
  <si>
    <t xml:space="preserve">5-Year Term Life Death </t>
  </si>
  <si>
    <t>Endowment</t>
  </si>
  <si>
    <t>Morb</t>
  </si>
  <si>
    <t>like Claim</t>
  </si>
  <si>
    <t>Male</t>
  </si>
  <si>
    <t>Female</t>
  </si>
  <si>
    <t>Annual Rate</t>
  </si>
  <si>
    <t>No of Death</t>
  </si>
  <si>
    <t>Lapse Table</t>
  </si>
  <si>
    <t>Policy_Year</t>
  </si>
  <si>
    <t>No.of Lapse</t>
  </si>
  <si>
    <t>Monthly</t>
  </si>
  <si>
    <t>Yearly</t>
  </si>
  <si>
    <t>Quarterly</t>
  </si>
  <si>
    <t>lapse mode</t>
  </si>
  <si>
    <t>F</t>
  </si>
  <si>
    <t>Morbidity Table</t>
  </si>
  <si>
    <t>No of Morb</t>
  </si>
  <si>
    <t>Morb Claim</t>
  </si>
  <si>
    <t>Result</t>
  </si>
  <si>
    <t>=IFNA(P3*VLOOKUP(O4,Morbidity_Table,IF($B$5="M",4,5),FALSE),0)*(N4&lt;=$B$8)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</si>
</sst>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000000000E+00"/>
    <numFmt numFmtId="165" formatCode="0.000000000000000"/>
    <numFmt numFmtId="166" formatCode="0.000000000E+00"/>
    <numFmt numFmtId="167" formatCode="0.0000000000000000000000000E+00"/>
  </numFmts>
  <fonts count="2">
    <font>
      <sz val="11"/>
      <color theme="1"/>
      <name val="Calibri"/>
      <family val="2"/>
      <scheme val="minor"/>
    </font>
    <font>
      <sz val="11"/>
      <color theme="1"/>
      <name val="Univer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0" fontId="1" fillId="0" borderId="0" xfId="0" applyFont="1"/>
    <xf numFmtId="9" fontId="0" fillId="0" borderId="0" xfId="0" applyNumberFormat="1"/>
    <xf numFmtId="164" fontId="0" fillId="0" borderId="0" xfId="0" applyNumberFormat="1"/>
    <xf numFmtId="11" fontId="0" fillId="0" borderId="0" xfId="0" applyNumberFormat="1"/>
    <xf numFmtId="9" fontId="1" fillId="0" borderId="0" xfId="0" applyNumberFormat="1" applyFont="1"/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F0F1F-A915-454E-AAD3-DCBA955BE303}">
  <sheetPr codeName="Sheet5"/>
  <dimension ref="A1:K140"/>
  <sheetViews>
    <sheetView workbookViewId="0">
      <selection activeCell="F13" sqref="F13"/>
    </sheetView>
  </sheetViews>
  <sheetFormatPr baseColWidth="10" defaultColWidth="10.6640625" defaultRowHeight="15"/>
  <sheetData>
    <row r="1" spans="1:11">
      <c r="A1" s="1">
        <v>1</v>
      </c>
      <c r="B1">
        <v>30</v>
      </c>
      <c r="C1" t="s">
        <v>6</v>
      </c>
      <c r="D1" t="s">
        <v>7</v>
      </c>
      <c r="E1">
        <v>0</v>
      </c>
      <c r="F1">
        <v>60</v>
      </c>
      <c r="G1">
        <v>5</v>
      </c>
      <c r="H1">
        <v>100</v>
      </c>
      <c r="I1" s="3">
        <v>0.05</v>
      </c>
      <c r="J1">
        <v>1.0042653189999999</v>
      </c>
      <c r="K1">
        <v>4</v>
      </c>
    </row>
    <row r="3" spans="1:11">
      <c r="A3" t="s">
        <v>4</v>
      </c>
      <c r="B3" t="s">
        <v>0</v>
      </c>
      <c r="C3" t="s">
        <v>1</v>
      </c>
      <c r="D3" t="s">
        <v>2</v>
      </c>
      <c r="E3" t="s">
        <v>3</v>
      </c>
      <c r="F3" t="s">
        <v>9</v>
      </c>
      <c r="G3" t="s">
        <v>13</v>
      </c>
      <c r="H3" t="s">
        <v>19</v>
      </c>
      <c r="I3" t="s">
        <v>20</v>
      </c>
      <c r="J3" t="s">
        <v>22</v>
      </c>
      <c r="K3" t="s">
        <v>37</v>
      </c>
    </row>
    <row r="4" spans="1:11">
      <c r="A4" s="1">
        <v>1</v>
      </c>
      <c r="B4">
        <v>30</v>
      </c>
      <c r="C4" t="s">
        <v>6</v>
      </c>
      <c r="D4" t="s">
        <v>7</v>
      </c>
      <c r="E4">
        <v>0</v>
      </c>
      <c r="F4">
        <v>60</v>
      </c>
      <c r="G4">
        <v>5</v>
      </c>
      <c r="H4">
        <v>100</v>
      </c>
      <c r="I4" s="3">
        <v>0.05</v>
      </c>
      <c r="J4">
        <v>1.0042653189999999</v>
      </c>
      <c r="K4">
        <v>4</v>
      </c>
    </row>
    <row r="5" spans="1:11">
      <c r="A5">
        <v>2</v>
      </c>
      <c r="B5">
        <v>40</v>
      </c>
      <c r="C5" t="s">
        <v>38</v>
      </c>
      <c r="D5" t="s">
        <v>7</v>
      </c>
      <c r="E5">
        <v>0</v>
      </c>
      <c r="F5">
        <v>0</v>
      </c>
      <c r="G5">
        <v>5.5</v>
      </c>
      <c r="H5">
        <v>120</v>
      </c>
      <c r="I5" s="3">
        <v>0.05</v>
      </c>
      <c r="J5">
        <v>1.0042653189999999</v>
      </c>
      <c r="K5">
        <v>4</v>
      </c>
    </row>
    <row r="6" spans="1:11">
      <c r="A6">
        <v>3</v>
      </c>
      <c r="B6">
        <v>77</v>
      </c>
      <c r="C6" t="s">
        <v>6</v>
      </c>
      <c r="D6" t="s">
        <v>7</v>
      </c>
      <c r="E6">
        <v>0</v>
      </c>
      <c r="F6">
        <v>60</v>
      </c>
      <c r="G6">
        <v>5</v>
      </c>
      <c r="H6">
        <v>100</v>
      </c>
      <c r="I6" s="3">
        <v>0.05</v>
      </c>
      <c r="J6">
        <v>1.0042653189999999</v>
      </c>
      <c r="K6">
        <v>4</v>
      </c>
    </row>
    <row r="7" spans="1:11">
      <c r="A7">
        <v>4</v>
      </c>
      <c r="B7">
        <v>62</v>
      </c>
      <c r="C7" t="s">
        <v>38</v>
      </c>
      <c r="D7" t="s">
        <v>7</v>
      </c>
      <c r="E7">
        <v>0</v>
      </c>
      <c r="F7">
        <v>36</v>
      </c>
      <c r="G7">
        <v>5.5</v>
      </c>
      <c r="H7">
        <v>120</v>
      </c>
      <c r="I7" s="3">
        <v>0.05</v>
      </c>
      <c r="J7">
        <v>1.0042653189999999</v>
      </c>
      <c r="K7">
        <v>4</v>
      </c>
    </row>
    <row r="8" spans="1:11">
      <c r="A8">
        <v>5</v>
      </c>
      <c r="B8">
        <v>14</v>
      </c>
      <c r="C8" t="s">
        <v>6</v>
      </c>
      <c r="D8" t="s">
        <v>7</v>
      </c>
      <c r="E8">
        <v>0</v>
      </c>
      <c r="F8">
        <v>24</v>
      </c>
      <c r="G8">
        <v>5</v>
      </c>
      <c r="H8">
        <v>100</v>
      </c>
      <c r="I8" s="3">
        <v>0.05</v>
      </c>
      <c r="J8">
        <v>1.0042653189999999</v>
      </c>
      <c r="K8">
        <v>4</v>
      </c>
    </row>
    <row r="9" spans="1:11">
      <c r="A9">
        <v>6</v>
      </c>
      <c r="B9">
        <v>46</v>
      </c>
      <c r="C9" t="s">
        <v>38</v>
      </c>
      <c r="D9" t="s">
        <v>7</v>
      </c>
      <c r="E9">
        <v>0</v>
      </c>
      <c r="F9">
        <v>36</v>
      </c>
      <c r="G9">
        <v>5.5</v>
      </c>
      <c r="H9">
        <v>120</v>
      </c>
      <c r="I9" s="3">
        <v>0.05</v>
      </c>
      <c r="J9">
        <v>1.0042653189999999</v>
      </c>
      <c r="K9">
        <v>4</v>
      </c>
    </row>
    <row r="10" spans="1:11">
      <c r="A10">
        <v>7</v>
      </c>
      <c r="B10">
        <v>55</v>
      </c>
      <c r="C10" t="s">
        <v>6</v>
      </c>
      <c r="D10" t="s">
        <v>7</v>
      </c>
      <c r="E10">
        <v>0</v>
      </c>
      <c r="F10">
        <v>24</v>
      </c>
      <c r="G10">
        <v>5</v>
      </c>
      <c r="H10">
        <v>100</v>
      </c>
      <c r="I10" s="3">
        <v>0.05</v>
      </c>
      <c r="J10">
        <v>1.0042653189999999</v>
      </c>
      <c r="K10">
        <v>4</v>
      </c>
    </row>
    <row r="11" spans="1:11">
      <c r="A11">
        <v>8</v>
      </c>
      <c r="B11">
        <v>6</v>
      </c>
      <c r="C11" t="s">
        <v>38</v>
      </c>
      <c r="D11" t="s">
        <v>7</v>
      </c>
      <c r="E11">
        <v>0</v>
      </c>
      <c r="F11">
        <v>12</v>
      </c>
      <c r="G11">
        <v>5.5</v>
      </c>
      <c r="H11">
        <v>120</v>
      </c>
      <c r="I11" s="3">
        <v>0.05</v>
      </c>
      <c r="J11">
        <v>1.0042653189999999</v>
      </c>
      <c r="K11">
        <v>4</v>
      </c>
    </row>
    <row r="12" spans="1:11">
      <c r="A12">
        <v>9</v>
      </c>
      <c r="B12">
        <v>11</v>
      </c>
      <c r="C12" t="s">
        <v>6</v>
      </c>
      <c r="D12" t="s">
        <v>7</v>
      </c>
      <c r="E12">
        <v>0</v>
      </c>
      <c r="F12">
        <v>12</v>
      </c>
      <c r="G12">
        <v>5</v>
      </c>
      <c r="H12">
        <v>100</v>
      </c>
      <c r="I12" s="3">
        <v>0.05</v>
      </c>
      <c r="J12">
        <v>1.0042653189999999</v>
      </c>
      <c r="K12">
        <v>4</v>
      </c>
    </row>
    <row r="13" spans="1:11">
      <c r="A13">
        <v>10</v>
      </c>
      <c r="B13">
        <v>26</v>
      </c>
      <c r="C13" t="s">
        <v>38</v>
      </c>
      <c r="D13" t="s">
        <v>7</v>
      </c>
      <c r="E13">
        <v>0</v>
      </c>
      <c r="F13">
        <v>24</v>
      </c>
      <c r="G13">
        <v>5.5</v>
      </c>
      <c r="H13">
        <v>120</v>
      </c>
      <c r="I13" s="3">
        <v>0.05</v>
      </c>
      <c r="J13">
        <v>1.0042653189999999</v>
      </c>
      <c r="K13">
        <v>4</v>
      </c>
    </row>
    <row r="14" spans="1:11">
      <c r="A14">
        <v>11</v>
      </c>
      <c r="B14">
        <v>17</v>
      </c>
      <c r="C14" t="s">
        <v>6</v>
      </c>
      <c r="D14" t="s">
        <v>7</v>
      </c>
      <c r="E14">
        <v>0</v>
      </c>
      <c r="F14">
        <v>24</v>
      </c>
      <c r="G14">
        <v>5</v>
      </c>
      <c r="H14">
        <v>100</v>
      </c>
      <c r="I14" s="3">
        <v>0.05</v>
      </c>
      <c r="J14">
        <v>1.0042653189999999</v>
      </c>
      <c r="K14">
        <v>4</v>
      </c>
    </row>
    <row r="15" spans="1:11">
      <c r="A15">
        <v>12</v>
      </c>
      <c r="B15">
        <v>71</v>
      </c>
      <c r="C15" t="s">
        <v>38</v>
      </c>
      <c r="D15" t="s">
        <v>7</v>
      </c>
      <c r="E15">
        <v>0</v>
      </c>
      <c r="F15">
        <v>48</v>
      </c>
      <c r="G15">
        <v>5.5</v>
      </c>
      <c r="H15">
        <v>120</v>
      </c>
      <c r="I15" s="3">
        <v>0.05</v>
      </c>
      <c r="J15">
        <v>1.0042653189999999</v>
      </c>
      <c r="K15">
        <v>4</v>
      </c>
    </row>
    <row r="16" spans="1:11">
      <c r="A16">
        <v>13</v>
      </c>
      <c r="B16">
        <v>20</v>
      </c>
      <c r="C16" t="s">
        <v>6</v>
      </c>
      <c r="D16" t="s">
        <v>7</v>
      </c>
      <c r="E16">
        <v>0</v>
      </c>
      <c r="F16">
        <v>36</v>
      </c>
      <c r="G16">
        <v>5</v>
      </c>
      <c r="H16">
        <v>100</v>
      </c>
      <c r="I16" s="3">
        <v>0.05</v>
      </c>
      <c r="J16">
        <v>1.0042653189999999</v>
      </c>
      <c r="K16">
        <v>4</v>
      </c>
    </row>
    <row r="17" spans="1:11">
      <c r="A17">
        <v>14</v>
      </c>
      <c r="B17">
        <v>30</v>
      </c>
      <c r="C17" t="s">
        <v>38</v>
      </c>
      <c r="D17" t="s">
        <v>7</v>
      </c>
      <c r="E17">
        <v>0</v>
      </c>
      <c r="F17">
        <v>60</v>
      </c>
      <c r="G17">
        <v>5.5</v>
      </c>
      <c r="H17">
        <v>120</v>
      </c>
      <c r="I17" s="3">
        <v>0.05</v>
      </c>
      <c r="J17">
        <v>1.0042653189999999</v>
      </c>
      <c r="K17">
        <v>4</v>
      </c>
    </row>
    <row r="18" spans="1:11">
      <c r="A18">
        <v>15</v>
      </c>
      <c r="B18">
        <v>96</v>
      </c>
      <c r="C18" t="s">
        <v>6</v>
      </c>
      <c r="D18" t="s">
        <v>7</v>
      </c>
      <c r="E18">
        <v>0</v>
      </c>
      <c r="F18">
        <v>12</v>
      </c>
      <c r="G18">
        <v>5</v>
      </c>
      <c r="H18">
        <v>100</v>
      </c>
      <c r="I18" s="3">
        <v>0.05</v>
      </c>
      <c r="J18">
        <v>1.0042653189999999</v>
      </c>
      <c r="K18">
        <v>4</v>
      </c>
    </row>
    <row r="19" spans="1:11">
      <c r="A19">
        <v>16</v>
      </c>
      <c r="B19">
        <v>30</v>
      </c>
      <c r="C19" t="s">
        <v>38</v>
      </c>
      <c r="D19" t="s">
        <v>7</v>
      </c>
      <c r="E19">
        <v>0</v>
      </c>
      <c r="F19">
        <v>0</v>
      </c>
      <c r="G19">
        <v>5.5</v>
      </c>
      <c r="H19">
        <v>120</v>
      </c>
      <c r="I19" s="3">
        <v>0.05</v>
      </c>
      <c r="J19">
        <v>1.0042653189999999</v>
      </c>
      <c r="K19">
        <v>4</v>
      </c>
    </row>
    <row r="20" spans="1:11">
      <c r="A20">
        <v>17</v>
      </c>
      <c r="B20">
        <v>76</v>
      </c>
      <c r="C20" t="s">
        <v>6</v>
      </c>
      <c r="D20" t="s">
        <v>7</v>
      </c>
      <c r="E20">
        <v>0</v>
      </c>
      <c r="F20">
        <v>36</v>
      </c>
      <c r="G20">
        <v>5</v>
      </c>
      <c r="H20">
        <v>100</v>
      </c>
      <c r="I20" s="3">
        <v>0.05</v>
      </c>
      <c r="J20">
        <v>1.0042653189999999</v>
      </c>
      <c r="K20">
        <v>4</v>
      </c>
    </row>
    <row r="21" spans="1:11">
      <c r="A21">
        <v>18</v>
      </c>
      <c r="B21">
        <v>68</v>
      </c>
      <c r="C21" t="s">
        <v>38</v>
      </c>
      <c r="D21" t="s">
        <v>7</v>
      </c>
      <c r="E21">
        <v>0</v>
      </c>
      <c r="F21">
        <v>36</v>
      </c>
      <c r="G21">
        <v>5.5</v>
      </c>
      <c r="H21">
        <v>120</v>
      </c>
      <c r="I21" s="3">
        <v>0.05</v>
      </c>
      <c r="J21">
        <v>1.0042653189999999</v>
      </c>
      <c r="K21">
        <v>4</v>
      </c>
    </row>
    <row r="22" spans="1:11">
      <c r="A22">
        <v>19</v>
      </c>
      <c r="B22">
        <v>74</v>
      </c>
      <c r="C22" t="s">
        <v>6</v>
      </c>
      <c r="D22" t="s">
        <v>7</v>
      </c>
      <c r="E22">
        <v>0</v>
      </c>
      <c r="F22">
        <v>36</v>
      </c>
      <c r="G22">
        <v>5</v>
      </c>
      <c r="H22">
        <v>100</v>
      </c>
      <c r="I22" s="3">
        <v>0.05</v>
      </c>
      <c r="J22">
        <v>1.0042653189999999</v>
      </c>
      <c r="K22">
        <v>4</v>
      </c>
    </row>
    <row r="23" spans="1:11">
      <c r="A23">
        <v>20</v>
      </c>
      <c r="B23">
        <v>85</v>
      </c>
      <c r="C23" t="s">
        <v>38</v>
      </c>
      <c r="D23" t="s">
        <v>7</v>
      </c>
      <c r="E23">
        <v>0</v>
      </c>
      <c r="F23">
        <v>48</v>
      </c>
      <c r="G23">
        <v>5.5</v>
      </c>
      <c r="H23">
        <v>120</v>
      </c>
      <c r="I23" s="3">
        <v>0.05</v>
      </c>
      <c r="J23">
        <v>1.0042653189999999</v>
      </c>
      <c r="K23">
        <v>4</v>
      </c>
    </row>
    <row r="24" spans="1:11">
      <c r="A24">
        <v>21</v>
      </c>
      <c r="B24">
        <v>84</v>
      </c>
      <c r="C24" t="s">
        <v>6</v>
      </c>
      <c r="D24" t="s">
        <v>7</v>
      </c>
      <c r="E24">
        <v>0</v>
      </c>
      <c r="F24">
        <v>12</v>
      </c>
      <c r="G24">
        <v>5</v>
      </c>
      <c r="H24">
        <v>100</v>
      </c>
      <c r="I24" s="3">
        <v>0.05</v>
      </c>
      <c r="J24">
        <v>1.0042653189999999</v>
      </c>
      <c r="K24">
        <v>4</v>
      </c>
    </row>
    <row r="25" spans="1:11">
      <c r="A25">
        <v>22</v>
      </c>
      <c r="B25">
        <v>63</v>
      </c>
      <c r="C25" t="s">
        <v>38</v>
      </c>
      <c r="D25" t="s">
        <v>7</v>
      </c>
      <c r="E25">
        <v>0</v>
      </c>
      <c r="F25">
        <v>12</v>
      </c>
      <c r="G25">
        <v>5.5</v>
      </c>
      <c r="H25">
        <v>120</v>
      </c>
      <c r="I25" s="3">
        <v>0.05</v>
      </c>
      <c r="J25">
        <v>1.0042653189999999</v>
      </c>
      <c r="K25">
        <v>4</v>
      </c>
    </row>
    <row r="26" spans="1:11">
      <c r="A26">
        <v>23</v>
      </c>
      <c r="B26">
        <v>65</v>
      </c>
      <c r="C26" t="s">
        <v>6</v>
      </c>
      <c r="D26" t="s">
        <v>7</v>
      </c>
      <c r="E26">
        <v>0</v>
      </c>
      <c r="F26">
        <v>60</v>
      </c>
      <c r="G26">
        <v>5</v>
      </c>
      <c r="H26">
        <v>100</v>
      </c>
      <c r="I26" s="3">
        <v>0.05</v>
      </c>
      <c r="J26">
        <v>1.0042653189999999</v>
      </c>
      <c r="K26">
        <v>4</v>
      </c>
    </row>
    <row r="27" spans="1:11">
      <c r="A27">
        <v>24</v>
      </c>
      <c r="B27">
        <v>17</v>
      </c>
      <c r="C27" t="s">
        <v>38</v>
      </c>
      <c r="D27" t="s">
        <v>7</v>
      </c>
      <c r="E27">
        <v>0</v>
      </c>
      <c r="F27">
        <v>12</v>
      </c>
      <c r="G27">
        <v>5.5</v>
      </c>
      <c r="H27">
        <v>120</v>
      </c>
      <c r="I27" s="3">
        <v>0.05</v>
      </c>
      <c r="J27">
        <v>1.0042653189999999</v>
      </c>
      <c r="K27">
        <v>4</v>
      </c>
    </row>
    <row r="28" spans="1:11">
      <c r="A28">
        <v>25</v>
      </c>
      <c r="B28">
        <v>12</v>
      </c>
      <c r="C28" t="s">
        <v>6</v>
      </c>
      <c r="D28" t="s">
        <v>7</v>
      </c>
      <c r="E28">
        <v>0</v>
      </c>
      <c r="F28">
        <v>12</v>
      </c>
      <c r="G28">
        <v>5</v>
      </c>
      <c r="H28">
        <v>100</v>
      </c>
      <c r="I28" s="3">
        <v>0.05</v>
      </c>
      <c r="J28">
        <v>1.0042653189999999</v>
      </c>
      <c r="K28">
        <v>4</v>
      </c>
    </row>
    <row r="29" spans="1:11">
      <c r="A29">
        <v>26</v>
      </c>
      <c r="B29">
        <v>9</v>
      </c>
      <c r="C29" t="s">
        <v>38</v>
      </c>
      <c r="D29" t="s">
        <v>7</v>
      </c>
      <c r="E29">
        <v>0</v>
      </c>
      <c r="F29">
        <v>48</v>
      </c>
      <c r="G29">
        <v>5.5</v>
      </c>
      <c r="H29">
        <v>120</v>
      </c>
      <c r="I29" s="3">
        <v>0.05</v>
      </c>
      <c r="J29">
        <v>1.0042653189999999</v>
      </c>
      <c r="K29">
        <v>4</v>
      </c>
    </row>
    <row r="30" spans="1:11">
      <c r="A30">
        <v>27</v>
      </c>
      <c r="B30">
        <v>28</v>
      </c>
      <c r="C30" t="s">
        <v>6</v>
      </c>
      <c r="D30" t="s">
        <v>7</v>
      </c>
      <c r="E30">
        <v>0</v>
      </c>
      <c r="F30">
        <v>0</v>
      </c>
      <c r="G30">
        <v>5</v>
      </c>
      <c r="H30">
        <v>100</v>
      </c>
      <c r="I30" s="3">
        <v>0.05</v>
      </c>
      <c r="J30">
        <v>1.0042653189999999</v>
      </c>
      <c r="K30">
        <v>4</v>
      </c>
    </row>
    <row r="31" spans="1:11">
      <c r="A31">
        <v>28</v>
      </c>
      <c r="B31">
        <v>56</v>
      </c>
      <c r="C31" t="s">
        <v>38</v>
      </c>
      <c r="D31" t="s">
        <v>7</v>
      </c>
      <c r="E31">
        <v>0</v>
      </c>
      <c r="F31">
        <v>12</v>
      </c>
      <c r="G31">
        <v>5.5</v>
      </c>
      <c r="H31">
        <v>120</v>
      </c>
      <c r="I31" s="3">
        <v>0.05</v>
      </c>
      <c r="J31">
        <v>1.0042653189999999</v>
      </c>
      <c r="K31">
        <v>4</v>
      </c>
    </row>
    <row r="32" spans="1:11">
      <c r="A32">
        <v>29</v>
      </c>
      <c r="B32">
        <v>85</v>
      </c>
      <c r="C32" t="s">
        <v>6</v>
      </c>
      <c r="D32" t="s">
        <v>7</v>
      </c>
      <c r="E32">
        <v>0</v>
      </c>
      <c r="F32">
        <v>12</v>
      </c>
      <c r="G32">
        <v>5</v>
      </c>
      <c r="H32">
        <v>100</v>
      </c>
      <c r="I32" s="3">
        <v>0.05</v>
      </c>
      <c r="J32">
        <v>1.0042653189999999</v>
      </c>
      <c r="K32">
        <v>4</v>
      </c>
    </row>
    <row r="33" spans="1:11">
      <c r="A33">
        <v>30</v>
      </c>
      <c r="B33">
        <v>30</v>
      </c>
      <c r="C33" t="s">
        <v>38</v>
      </c>
      <c r="D33" t="s">
        <v>7</v>
      </c>
      <c r="E33">
        <v>0</v>
      </c>
      <c r="F33">
        <v>60</v>
      </c>
      <c r="G33">
        <v>5.5</v>
      </c>
      <c r="H33">
        <v>120</v>
      </c>
      <c r="I33" s="3">
        <v>0.05</v>
      </c>
      <c r="J33">
        <v>1.0042653189999999</v>
      </c>
      <c r="K33">
        <v>4</v>
      </c>
    </row>
    <row r="34" spans="1:11">
      <c r="A34">
        <v>31</v>
      </c>
      <c r="B34">
        <v>53</v>
      </c>
      <c r="C34" t="s">
        <v>6</v>
      </c>
      <c r="D34" t="s">
        <v>7</v>
      </c>
      <c r="E34">
        <v>0</v>
      </c>
      <c r="F34">
        <v>12</v>
      </c>
      <c r="G34">
        <v>5</v>
      </c>
      <c r="H34">
        <v>100</v>
      </c>
      <c r="I34" s="3">
        <v>0.05</v>
      </c>
      <c r="J34">
        <v>1.0042653189999999</v>
      </c>
      <c r="K34">
        <v>4</v>
      </c>
    </row>
    <row r="35" spans="1:11">
      <c r="A35">
        <v>32</v>
      </c>
      <c r="B35">
        <v>75</v>
      </c>
      <c r="C35" t="s">
        <v>38</v>
      </c>
      <c r="D35" t="s">
        <v>7</v>
      </c>
      <c r="E35">
        <v>0</v>
      </c>
      <c r="F35">
        <v>60</v>
      </c>
      <c r="G35">
        <v>5.5</v>
      </c>
      <c r="H35">
        <v>120</v>
      </c>
      <c r="I35" s="3">
        <v>0.05</v>
      </c>
      <c r="J35">
        <v>1.0042653189999999</v>
      </c>
      <c r="K35">
        <v>4</v>
      </c>
    </row>
    <row r="36" spans="1:11">
      <c r="A36">
        <v>33</v>
      </c>
      <c r="B36">
        <v>62</v>
      </c>
      <c r="C36" t="s">
        <v>6</v>
      </c>
      <c r="D36" t="s">
        <v>7</v>
      </c>
      <c r="E36">
        <v>0</v>
      </c>
      <c r="F36">
        <v>60</v>
      </c>
      <c r="G36">
        <v>5</v>
      </c>
      <c r="H36">
        <v>100</v>
      </c>
      <c r="I36" s="3">
        <v>0.05</v>
      </c>
      <c r="J36">
        <v>1.0042653189999999</v>
      </c>
      <c r="K36">
        <v>4</v>
      </c>
    </row>
    <row r="37" spans="1:11">
      <c r="A37">
        <v>34</v>
      </c>
      <c r="B37">
        <v>49</v>
      </c>
      <c r="C37" t="s">
        <v>38</v>
      </c>
      <c r="D37" t="s">
        <v>7</v>
      </c>
      <c r="E37">
        <v>0</v>
      </c>
      <c r="F37">
        <v>24</v>
      </c>
      <c r="G37">
        <v>5.5</v>
      </c>
      <c r="H37">
        <v>120</v>
      </c>
      <c r="I37" s="3">
        <v>0.05</v>
      </c>
      <c r="J37">
        <v>1.0042653189999999</v>
      </c>
      <c r="K37">
        <v>4</v>
      </c>
    </row>
    <row r="38" spans="1:11">
      <c r="A38">
        <v>35</v>
      </c>
      <c r="B38">
        <v>86</v>
      </c>
      <c r="C38" t="s">
        <v>6</v>
      </c>
      <c r="D38" t="s">
        <v>7</v>
      </c>
      <c r="E38">
        <v>0</v>
      </c>
      <c r="F38">
        <v>60</v>
      </c>
      <c r="G38">
        <v>5</v>
      </c>
      <c r="H38">
        <v>100</v>
      </c>
      <c r="I38" s="3">
        <v>0.05</v>
      </c>
      <c r="J38">
        <v>1.0042653189999999</v>
      </c>
      <c r="K38">
        <v>4</v>
      </c>
    </row>
    <row r="39" spans="1:11">
      <c r="A39">
        <v>36</v>
      </c>
      <c r="B39">
        <v>94</v>
      </c>
      <c r="C39" t="s">
        <v>38</v>
      </c>
      <c r="D39" t="s">
        <v>7</v>
      </c>
      <c r="E39">
        <v>0</v>
      </c>
      <c r="F39">
        <v>36</v>
      </c>
      <c r="G39">
        <v>5.5</v>
      </c>
      <c r="H39">
        <v>120</v>
      </c>
      <c r="I39" s="3">
        <v>0.05</v>
      </c>
      <c r="J39">
        <v>1.0042653189999999</v>
      </c>
      <c r="K39">
        <v>4</v>
      </c>
    </row>
    <row r="40" spans="1:11">
      <c r="A40">
        <v>37</v>
      </c>
      <c r="B40">
        <v>96</v>
      </c>
      <c r="C40" t="s">
        <v>6</v>
      </c>
      <c r="D40" t="s">
        <v>7</v>
      </c>
      <c r="E40">
        <v>0</v>
      </c>
      <c r="F40">
        <v>0</v>
      </c>
      <c r="G40">
        <v>5</v>
      </c>
      <c r="H40">
        <v>100</v>
      </c>
      <c r="I40" s="3">
        <v>0.05</v>
      </c>
      <c r="J40">
        <v>1.0042653189999999</v>
      </c>
      <c r="K40">
        <v>4</v>
      </c>
    </row>
    <row r="41" spans="1:11">
      <c r="A41">
        <v>38</v>
      </c>
      <c r="B41">
        <v>64</v>
      </c>
      <c r="C41" t="s">
        <v>38</v>
      </c>
      <c r="D41" t="s">
        <v>7</v>
      </c>
      <c r="E41">
        <v>0</v>
      </c>
      <c r="F41">
        <v>60</v>
      </c>
      <c r="G41">
        <v>5.5</v>
      </c>
      <c r="H41">
        <v>120</v>
      </c>
      <c r="I41" s="3">
        <v>0.05</v>
      </c>
      <c r="J41">
        <v>1.0042653189999999</v>
      </c>
      <c r="K41">
        <v>4</v>
      </c>
    </row>
    <row r="42" spans="1:11">
      <c r="A42">
        <v>39</v>
      </c>
      <c r="B42">
        <v>13</v>
      </c>
      <c r="C42" t="s">
        <v>6</v>
      </c>
      <c r="D42" t="s">
        <v>7</v>
      </c>
      <c r="E42">
        <v>0</v>
      </c>
      <c r="F42">
        <v>12</v>
      </c>
      <c r="G42">
        <v>5</v>
      </c>
      <c r="H42">
        <v>100</v>
      </c>
      <c r="I42" s="3">
        <v>0.05</v>
      </c>
      <c r="J42">
        <v>1.0042653189999999</v>
      </c>
      <c r="K42">
        <v>4</v>
      </c>
    </row>
    <row r="43" spans="1:11">
      <c r="A43">
        <v>40</v>
      </c>
      <c r="B43">
        <v>93</v>
      </c>
      <c r="C43" t="s">
        <v>38</v>
      </c>
      <c r="D43" t="s">
        <v>7</v>
      </c>
      <c r="E43">
        <v>0</v>
      </c>
      <c r="F43">
        <v>12</v>
      </c>
      <c r="G43">
        <v>5.5</v>
      </c>
      <c r="H43">
        <v>120</v>
      </c>
      <c r="I43" s="3">
        <v>0.05</v>
      </c>
      <c r="J43">
        <v>1.0042653189999999</v>
      </c>
      <c r="K43">
        <v>4</v>
      </c>
    </row>
    <row r="44" spans="1:11">
      <c r="A44">
        <v>41</v>
      </c>
      <c r="B44">
        <v>14</v>
      </c>
      <c r="C44" t="s">
        <v>6</v>
      </c>
      <c r="D44" t="s">
        <v>7</v>
      </c>
      <c r="E44">
        <v>0</v>
      </c>
      <c r="F44">
        <v>48</v>
      </c>
      <c r="G44">
        <v>5</v>
      </c>
      <c r="H44">
        <v>100</v>
      </c>
      <c r="I44" s="3">
        <v>0.05</v>
      </c>
      <c r="J44">
        <v>1.0042653189999999</v>
      </c>
      <c r="K44">
        <v>4</v>
      </c>
    </row>
    <row r="45" spans="1:11">
      <c r="A45">
        <v>42</v>
      </c>
      <c r="B45">
        <v>11</v>
      </c>
      <c r="C45" t="s">
        <v>38</v>
      </c>
      <c r="D45" t="s">
        <v>7</v>
      </c>
      <c r="E45">
        <v>0</v>
      </c>
      <c r="F45">
        <v>48</v>
      </c>
      <c r="G45">
        <v>5.5</v>
      </c>
      <c r="H45">
        <v>120</v>
      </c>
      <c r="I45" s="3">
        <v>0.05</v>
      </c>
      <c r="J45">
        <v>1.0042653189999999</v>
      </c>
      <c r="K45">
        <v>4</v>
      </c>
    </row>
    <row r="46" spans="1:11">
      <c r="A46">
        <v>43</v>
      </c>
      <c r="B46">
        <v>28</v>
      </c>
      <c r="C46" t="s">
        <v>6</v>
      </c>
      <c r="D46" t="s">
        <v>7</v>
      </c>
      <c r="E46">
        <v>0</v>
      </c>
      <c r="F46">
        <v>48</v>
      </c>
      <c r="G46">
        <v>5</v>
      </c>
      <c r="H46">
        <v>100</v>
      </c>
      <c r="I46" s="3">
        <v>0.05</v>
      </c>
      <c r="J46">
        <v>1.0042653189999999</v>
      </c>
      <c r="K46">
        <v>4</v>
      </c>
    </row>
    <row r="47" spans="1:11">
      <c r="A47">
        <v>44</v>
      </c>
      <c r="B47">
        <v>86</v>
      </c>
      <c r="C47" t="s">
        <v>38</v>
      </c>
      <c r="D47" t="s">
        <v>7</v>
      </c>
      <c r="E47">
        <v>0</v>
      </c>
      <c r="F47">
        <v>48</v>
      </c>
      <c r="G47">
        <v>5.5</v>
      </c>
      <c r="H47">
        <v>120</v>
      </c>
      <c r="I47" s="3">
        <v>0.05</v>
      </c>
      <c r="J47">
        <v>1.0042653189999999</v>
      </c>
      <c r="K47">
        <v>4</v>
      </c>
    </row>
    <row r="48" spans="1:11">
      <c r="A48">
        <v>45</v>
      </c>
      <c r="B48">
        <v>23</v>
      </c>
      <c r="C48" t="s">
        <v>6</v>
      </c>
      <c r="D48" t="s">
        <v>7</v>
      </c>
      <c r="E48">
        <v>0</v>
      </c>
      <c r="F48">
        <v>48</v>
      </c>
      <c r="G48">
        <v>5</v>
      </c>
      <c r="H48">
        <v>100</v>
      </c>
      <c r="I48" s="3">
        <v>0.05</v>
      </c>
      <c r="J48">
        <v>1.0042653189999999</v>
      </c>
      <c r="K48">
        <v>4</v>
      </c>
    </row>
    <row r="49" spans="1:11">
      <c r="A49">
        <v>46</v>
      </c>
      <c r="B49">
        <v>64</v>
      </c>
      <c r="C49" t="s">
        <v>38</v>
      </c>
      <c r="D49" t="s">
        <v>7</v>
      </c>
      <c r="E49">
        <v>0</v>
      </c>
      <c r="F49">
        <v>24</v>
      </c>
      <c r="G49">
        <v>5.5</v>
      </c>
      <c r="H49">
        <v>120</v>
      </c>
      <c r="I49" s="3">
        <v>0.05</v>
      </c>
      <c r="J49">
        <v>1.0042653189999999</v>
      </c>
      <c r="K49">
        <v>4</v>
      </c>
    </row>
    <row r="50" spans="1:11">
      <c r="A50">
        <v>47</v>
      </c>
      <c r="B50">
        <v>47</v>
      </c>
      <c r="C50" t="s">
        <v>6</v>
      </c>
      <c r="D50" t="s">
        <v>7</v>
      </c>
      <c r="E50">
        <v>0</v>
      </c>
      <c r="F50">
        <v>48</v>
      </c>
      <c r="G50">
        <v>5</v>
      </c>
      <c r="H50">
        <v>100</v>
      </c>
      <c r="I50" s="3">
        <v>0.05</v>
      </c>
      <c r="J50">
        <v>1.0042653189999999</v>
      </c>
      <c r="K50">
        <v>4</v>
      </c>
    </row>
    <row r="51" spans="1:11">
      <c r="A51">
        <v>48</v>
      </c>
      <c r="B51">
        <v>9</v>
      </c>
      <c r="C51" t="s">
        <v>38</v>
      </c>
      <c r="D51" t="s">
        <v>7</v>
      </c>
      <c r="E51">
        <v>0</v>
      </c>
      <c r="F51">
        <v>60</v>
      </c>
      <c r="G51">
        <v>5.5</v>
      </c>
      <c r="H51">
        <v>120</v>
      </c>
      <c r="I51" s="3">
        <v>0.05</v>
      </c>
      <c r="J51">
        <v>1.0042653189999999</v>
      </c>
      <c r="K51">
        <v>4</v>
      </c>
    </row>
    <row r="52" spans="1:11">
      <c r="A52">
        <v>49</v>
      </c>
      <c r="B52">
        <v>82</v>
      </c>
      <c r="C52" t="s">
        <v>6</v>
      </c>
      <c r="D52" t="s">
        <v>7</v>
      </c>
      <c r="E52">
        <v>0</v>
      </c>
      <c r="F52">
        <v>36</v>
      </c>
      <c r="G52">
        <v>5</v>
      </c>
      <c r="H52">
        <v>100</v>
      </c>
      <c r="I52" s="3">
        <v>0.05</v>
      </c>
      <c r="J52">
        <v>1.0042653189999999</v>
      </c>
      <c r="K52">
        <v>4</v>
      </c>
    </row>
    <row r="53" spans="1:11">
      <c r="A53">
        <v>50</v>
      </c>
      <c r="B53">
        <v>21</v>
      </c>
      <c r="C53" t="s">
        <v>38</v>
      </c>
      <c r="D53" t="s">
        <v>7</v>
      </c>
      <c r="E53">
        <v>0</v>
      </c>
      <c r="F53">
        <v>12</v>
      </c>
      <c r="G53">
        <v>5.5</v>
      </c>
      <c r="H53">
        <v>120</v>
      </c>
      <c r="I53" s="3">
        <v>0.05</v>
      </c>
      <c r="J53">
        <v>1.0042653189999999</v>
      </c>
      <c r="K53">
        <v>4</v>
      </c>
    </row>
    <row r="54" spans="1:11">
      <c r="A54">
        <v>51</v>
      </c>
      <c r="B54">
        <v>43</v>
      </c>
      <c r="C54" t="s">
        <v>6</v>
      </c>
      <c r="D54" t="s">
        <v>7</v>
      </c>
      <c r="E54">
        <v>0</v>
      </c>
      <c r="F54">
        <v>24</v>
      </c>
      <c r="G54">
        <v>5</v>
      </c>
      <c r="H54">
        <v>100</v>
      </c>
      <c r="I54" s="3">
        <v>0.05</v>
      </c>
      <c r="J54">
        <v>1.0042653189999999</v>
      </c>
      <c r="K54">
        <v>4</v>
      </c>
    </row>
    <row r="55" spans="1:11">
      <c r="A55">
        <v>52</v>
      </c>
      <c r="B55">
        <v>51</v>
      </c>
      <c r="C55" t="s">
        <v>38</v>
      </c>
      <c r="D55" t="s">
        <v>7</v>
      </c>
      <c r="E55">
        <v>0</v>
      </c>
      <c r="F55">
        <v>60</v>
      </c>
      <c r="G55">
        <v>5.5</v>
      </c>
      <c r="H55">
        <v>120</v>
      </c>
      <c r="I55" s="3">
        <v>0.05</v>
      </c>
      <c r="J55">
        <v>1.0042653189999999</v>
      </c>
      <c r="K55">
        <v>4</v>
      </c>
    </row>
    <row r="56" spans="1:11">
      <c r="A56">
        <v>53</v>
      </c>
      <c r="B56">
        <v>44</v>
      </c>
      <c r="C56" t="s">
        <v>6</v>
      </c>
      <c r="D56" t="s">
        <v>7</v>
      </c>
      <c r="E56">
        <v>0</v>
      </c>
      <c r="F56">
        <v>48</v>
      </c>
      <c r="G56">
        <v>5</v>
      </c>
      <c r="H56">
        <v>100</v>
      </c>
      <c r="I56" s="3">
        <v>0.05</v>
      </c>
      <c r="J56">
        <v>1.0042653189999999</v>
      </c>
      <c r="K56">
        <v>4</v>
      </c>
    </row>
    <row r="57" spans="1:11">
      <c r="A57">
        <v>54</v>
      </c>
      <c r="B57">
        <v>75</v>
      </c>
      <c r="C57" t="s">
        <v>38</v>
      </c>
      <c r="D57" t="s">
        <v>7</v>
      </c>
      <c r="E57">
        <v>0</v>
      </c>
      <c r="F57">
        <v>24</v>
      </c>
      <c r="G57">
        <v>5.5</v>
      </c>
      <c r="H57">
        <v>120</v>
      </c>
      <c r="I57" s="3">
        <v>0.05</v>
      </c>
      <c r="J57">
        <v>1.0042653189999999</v>
      </c>
      <c r="K57">
        <v>4</v>
      </c>
    </row>
    <row r="58" spans="1:11">
      <c r="A58">
        <v>55</v>
      </c>
      <c r="B58">
        <v>94</v>
      </c>
      <c r="C58" t="s">
        <v>6</v>
      </c>
      <c r="D58" t="s">
        <v>7</v>
      </c>
      <c r="E58">
        <v>0</v>
      </c>
      <c r="F58">
        <v>60</v>
      </c>
      <c r="G58">
        <v>5</v>
      </c>
      <c r="H58">
        <v>100</v>
      </c>
      <c r="I58" s="3">
        <v>0.05</v>
      </c>
      <c r="J58">
        <v>1.0042653189999999</v>
      </c>
      <c r="K58">
        <v>4</v>
      </c>
    </row>
    <row r="59" spans="1:11">
      <c r="A59">
        <v>56</v>
      </c>
      <c r="B59">
        <v>40</v>
      </c>
      <c r="C59" t="s">
        <v>38</v>
      </c>
      <c r="D59" t="s">
        <v>7</v>
      </c>
      <c r="E59">
        <v>0</v>
      </c>
      <c r="F59">
        <v>12</v>
      </c>
      <c r="G59">
        <v>5.5</v>
      </c>
      <c r="H59">
        <v>120</v>
      </c>
      <c r="I59" s="3">
        <v>0.05</v>
      </c>
      <c r="J59">
        <v>1.0042653189999999</v>
      </c>
      <c r="K59">
        <v>4</v>
      </c>
    </row>
    <row r="60" spans="1:11">
      <c r="A60">
        <v>57</v>
      </c>
      <c r="B60">
        <v>74</v>
      </c>
      <c r="C60" t="s">
        <v>6</v>
      </c>
      <c r="D60" t="s">
        <v>7</v>
      </c>
      <c r="E60">
        <v>0</v>
      </c>
      <c r="F60">
        <v>36</v>
      </c>
      <c r="G60">
        <v>5</v>
      </c>
      <c r="H60">
        <v>100</v>
      </c>
      <c r="I60" s="3">
        <v>0.05</v>
      </c>
      <c r="J60">
        <v>1.0042653189999999</v>
      </c>
      <c r="K60">
        <v>4</v>
      </c>
    </row>
    <row r="61" spans="1:11">
      <c r="A61">
        <v>58</v>
      </c>
      <c r="B61">
        <v>20</v>
      </c>
      <c r="C61" t="s">
        <v>38</v>
      </c>
      <c r="D61" t="s">
        <v>7</v>
      </c>
      <c r="E61">
        <v>0</v>
      </c>
      <c r="F61">
        <v>60</v>
      </c>
      <c r="G61">
        <v>5.5</v>
      </c>
      <c r="H61">
        <v>120</v>
      </c>
      <c r="I61" s="3">
        <v>0.05</v>
      </c>
      <c r="J61">
        <v>1.0042653189999999</v>
      </c>
      <c r="K61">
        <v>4</v>
      </c>
    </row>
    <row r="62" spans="1:11">
      <c r="A62">
        <v>59</v>
      </c>
      <c r="B62">
        <v>66</v>
      </c>
      <c r="C62" t="s">
        <v>6</v>
      </c>
      <c r="D62" t="s">
        <v>7</v>
      </c>
      <c r="E62">
        <v>0</v>
      </c>
      <c r="F62">
        <v>12</v>
      </c>
      <c r="G62">
        <v>5</v>
      </c>
      <c r="H62">
        <v>100</v>
      </c>
      <c r="I62" s="3">
        <v>0.05</v>
      </c>
      <c r="J62">
        <v>1.0042653189999999</v>
      </c>
      <c r="K62">
        <v>4</v>
      </c>
    </row>
    <row r="63" spans="1:11">
      <c r="A63">
        <v>60</v>
      </c>
      <c r="B63">
        <v>14</v>
      </c>
      <c r="C63" t="s">
        <v>38</v>
      </c>
      <c r="D63" t="s">
        <v>7</v>
      </c>
      <c r="E63">
        <v>0</v>
      </c>
      <c r="F63">
        <v>48</v>
      </c>
      <c r="G63">
        <v>5.5</v>
      </c>
      <c r="H63">
        <v>120</v>
      </c>
      <c r="I63" s="3">
        <v>0.05</v>
      </c>
      <c r="J63">
        <v>1.0042653189999999</v>
      </c>
      <c r="K63">
        <v>4</v>
      </c>
    </row>
    <row r="64" spans="1:11">
      <c r="A64">
        <v>61</v>
      </c>
      <c r="B64">
        <v>12</v>
      </c>
      <c r="C64" t="s">
        <v>6</v>
      </c>
      <c r="D64" t="s">
        <v>7</v>
      </c>
      <c r="E64">
        <v>0</v>
      </c>
      <c r="F64">
        <v>48</v>
      </c>
      <c r="G64">
        <v>5</v>
      </c>
      <c r="H64">
        <v>100</v>
      </c>
      <c r="I64" s="3">
        <v>0.05</v>
      </c>
      <c r="J64">
        <v>1.0042653189999999</v>
      </c>
      <c r="K64">
        <v>4</v>
      </c>
    </row>
    <row r="65" spans="1:11">
      <c r="A65">
        <v>62</v>
      </c>
      <c r="B65">
        <v>38</v>
      </c>
      <c r="C65" t="s">
        <v>38</v>
      </c>
      <c r="D65" t="s">
        <v>7</v>
      </c>
      <c r="E65">
        <v>0</v>
      </c>
      <c r="F65">
        <v>60</v>
      </c>
      <c r="G65">
        <v>5.5</v>
      </c>
      <c r="H65">
        <v>120</v>
      </c>
      <c r="I65" s="3">
        <v>0.05</v>
      </c>
      <c r="J65">
        <v>1.0042653189999999</v>
      </c>
      <c r="K65">
        <v>4</v>
      </c>
    </row>
    <row r="66" spans="1:11">
      <c r="A66">
        <v>63</v>
      </c>
      <c r="B66">
        <v>88</v>
      </c>
      <c r="C66" t="s">
        <v>6</v>
      </c>
      <c r="D66" t="s">
        <v>7</v>
      </c>
      <c r="E66">
        <v>0</v>
      </c>
      <c r="F66">
        <v>36</v>
      </c>
      <c r="G66">
        <v>5</v>
      </c>
      <c r="H66">
        <v>100</v>
      </c>
      <c r="I66" s="3">
        <v>0.05</v>
      </c>
      <c r="J66">
        <v>1.0042653189999999</v>
      </c>
      <c r="K66">
        <v>4</v>
      </c>
    </row>
    <row r="67" spans="1:11">
      <c r="A67">
        <v>64</v>
      </c>
      <c r="B67">
        <v>49</v>
      </c>
      <c r="C67" t="s">
        <v>38</v>
      </c>
      <c r="D67" t="s">
        <v>7</v>
      </c>
      <c r="E67">
        <v>0</v>
      </c>
      <c r="F67">
        <v>24</v>
      </c>
      <c r="G67">
        <v>5.5</v>
      </c>
      <c r="H67">
        <v>120</v>
      </c>
      <c r="I67" s="3">
        <v>0.05</v>
      </c>
      <c r="J67">
        <v>1.0042653189999999</v>
      </c>
      <c r="K67">
        <v>4</v>
      </c>
    </row>
    <row r="68" spans="1:11">
      <c r="A68">
        <v>65</v>
      </c>
      <c r="B68">
        <v>16</v>
      </c>
      <c r="C68" t="s">
        <v>6</v>
      </c>
      <c r="D68" t="s">
        <v>7</v>
      </c>
      <c r="E68">
        <v>0</v>
      </c>
      <c r="F68">
        <v>48</v>
      </c>
      <c r="G68">
        <v>5</v>
      </c>
      <c r="H68">
        <v>100</v>
      </c>
      <c r="I68" s="3">
        <v>0.05</v>
      </c>
      <c r="J68">
        <v>1.0042653189999999</v>
      </c>
      <c r="K68">
        <v>4</v>
      </c>
    </row>
    <row r="69" spans="1:11">
      <c r="A69">
        <v>66</v>
      </c>
      <c r="B69">
        <v>9</v>
      </c>
      <c r="C69" t="s">
        <v>38</v>
      </c>
      <c r="D69" t="s">
        <v>7</v>
      </c>
      <c r="E69">
        <v>0</v>
      </c>
      <c r="F69">
        <v>12</v>
      </c>
      <c r="G69">
        <v>5.5</v>
      </c>
      <c r="H69">
        <v>120</v>
      </c>
      <c r="I69" s="3">
        <v>0.05</v>
      </c>
      <c r="J69">
        <v>1.0042653189999999</v>
      </c>
      <c r="K69">
        <v>4</v>
      </c>
    </row>
    <row r="70" spans="1:11">
      <c r="A70">
        <v>67</v>
      </c>
      <c r="B70">
        <v>30</v>
      </c>
      <c r="C70" t="s">
        <v>6</v>
      </c>
      <c r="D70" t="s">
        <v>7</v>
      </c>
      <c r="E70">
        <v>0</v>
      </c>
      <c r="F70">
        <v>36</v>
      </c>
      <c r="G70">
        <v>5</v>
      </c>
      <c r="H70">
        <v>100</v>
      </c>
      <c r="I70" s="3">
        <v>0.05</v>
      </c>
      <c r="J70">
        <v>1.0042653189999999</v>
      </c>
      <c r="K70">
        <v>4</v>
      </c>
    </row>
    <row r="71" spans="1:11">
      <c r="A71">
        <v>68</v>
      </c>
      <c r="B71">
        <v>47</v>
      </c>
      <c r="C71" t="s">
        <v>38</v>
      </c>
      <c r="D71" t="s">
        <v>7</v>
      </c>
      <c r="E71">
        <v>0</v>
      </c>
      <c r="F71">
        <v>12</v>
      </c>
      <c r="G71">
        <v>5.5</v>
      </c>
      <c r="H71">
        <v>120</v>
      </c>
      <c r="I71" s="3">
        <v>0.05</v>
      </c>
      <c r="J71">
        <v>1.0042653189999999</v>
      </c>
      <c r="K71">
        <v>4</v>
      </c>
    </row>
    <row r="72" spans="1:11">
      <c r="A72">
        <v>69</v>
      </c>
      <c r="B72">
        <v>25</v>
      </c>
      <c r="C72" t="s">
        <v>6</v>
      </c>
      <c r="D72" t="s">
        <v>7</v>
      </c>
      <c r="E72">
        <v>0</v>
      </c>
      <c r="F72">
        <v>36</v>
      </c>
      <c r="G72">
        <v>5</v>
      </c>
      <c r="H72">
        <v>100</v>
      </c>
      <c r="I72" s="3">
        <v>0.05</v>
      </c>
      <c r="J72">
        <v>1.0042653189999999</v>
      </c>
      <c r="K72">
        <v>4</v>
      </c>
    </row>
    <row r="73" spans="1:11">
      <c r="A73">
        <v>70</v>
      </c>
      <c r="B73">
        <v>23</v>
      </c>
      <c r="C73" t="s">
        <v>38</v>
      </c>
      <c r="D73" t="s">
        <v>7</v>
      </c>
      <c r="E73">
        <v>0</v>
      </c>
      <c r="F73">
        <v>48</v>
      </c>
      <c r="G73">
        <v>5.5</v>
      </c>
      <c r="H73">
        <v>120</v>
      </c>
      <c r="I73" s="3">
        <v>0.05</v>
      </c>
      <c r="J73">
        <v>1.0042653189999999</v>
      </c>
      <c r="K73">
        <v>4</v>
      </c>
    </row>
    <row r="74" spans="1:11">
      <c r="A74">
        <v>71</v>
      </c>
      <c r="B74">
        <v>58</v>
      </c>
      <c r="C74" t="s">
        <v>6</v>
      </c>
      <c r="D74" t="s">
        <v>7</v>
      </c>
      <c r="E74">
        <v>0</v>
      </c>
      <c r="F74">
        <v>48</v>
      </c>
      <c r="G74">
        <v>5</v>
      </c>
      <c r="H74">
        <v>100</v>
      </c>
      <c r="I74" s="3">
        <v>0.05</v>
      </c>
      <c r="J74">
        <v>1.0042653189999999</v>
      </c>
      <c r="K74">
        <v>4</v>
      </c>
    </row>
    <row r="75" spans="1:11">
      <c r="A75">
        <v>72</v>
      </c>
      <c r="B75">
        <v>70</v>
      </c>
      <c r="C75" t="s">
        <v>38</v>
      </c>
      <c r="D75" t="s">
        <v>7</v>
      </c>
      <c r="E75">
        <v>0</v>
      </c>
      <c r="F75">
        <v>24</v>
      </c>
      <c r="G75">
        <v>5.5</v>
      </c>
      <c r="H75">
        <v>120</v>
      </c>
      <c r="I75" s="3">
        <v>0.05</v>
      </c>
      <c r="J75">
        <v>1.0042653189999999</v>
      </c>
      <c r="K75">
        <v>4</v>
      </c>
    </row>
    <row r="76" spans="1:11">
      <c r="A76">
        <v>73</v>
      </c>
      <c r="B76">
        <v>46</v>
      </c>
      <c r="C76" t="s">
        <v>6</v>
      </c>
      <c r="D76" t="s">
        <v>7</v>
      </c>
      <c r="E76">
        <v>0</v>
      </c>
      <c r="F76">
        <v>12</v>
      </c>
      <c r="G76">
        <v>5</v>
      </c>
      <c r="H76">
        <v>100</v>
      </c>
      <c r="I76" s="3">
        <v>0.05</v>
      </c>
      <c r="J76">
        <v>1.0042653189999999</v>
      </c>
      <c r="K76">
        <v>4</v>
      </c>
    </row>
    <row r="77" spans="1:11">
      <c r="A77">
        <v>74</v>
      </c>
      <c r="B77">
        <v>97</v>
      </c>
      <c r="C77" t="s">
        <v>38</v>
      </c>
      <c r="D77" t="s">
        <v>7</v>
      </c>
      <c r="E77">
        <v>0</v>
      </c>
      <c r="F77">
        <v>48</v>
      </c>
      <c r="G77">
        <v>5.5</v>
      </c>
      <c r="H77">
        <v>120</v>
      </c>
      <c r="I77" s="3">
        <v>0.05</v>
      </c>
      <c r="J77">
        <v>1.0042653189999999</v>
      </c>
      <c r="K77">
        <v>4</v>
      </c>
    </row>
    <row r="78" spans="1:11">
      <c r="A78">
        <v>75</v>
      </c>
      <c r="B78">
        <v>65</v>
      </c>
      <c r="C78" t="s">
        <v>6</v>
      </c>
      <c r="D78" t="s">
        <v>7</v>
      </c>
      <c r="E78">
        <v>0</v>
      </c>
      <c r="F78">
        <v>60</v>
      </c>
      <c r="G78">
        <v>5</v>
      </c>
      <c r="H78">
        <v>100</v>
      </c>
      <c r="I78" s="3">
        <v>0.05</v>
      </c>
      <c r="J78">
        <v>1.0042653189999999</v>
      </c>
      <c r="K78">
        <v>4</v>
      </c>
    </row>
    <row r="79" spans="1:11">
      <c r="A79">
        <v>76</v>
      </c>
      <c r="B79">
        <v>84</v>
      </c>
      <c r="C79" t="s">
        <v>38</v>
      </c>
      <c r="D79" t="s">
        <v>7</v>
      </c>
      <c r="E79">
        <v>0</v>
      </c>
      <c r="F79">
        <v>48</v>
      </c>
      <c r="G79">
        <v>5.5</v>
      </c>
      <c r="H79">
        <v>120</v>
      </c>
      <c r="I79" s="3">
        <v>0.05</v>
      </c>
      <c r="J79">
        <v>1.0042653189999999</v>
      </c>
      <c r="K79">
        <v>4</v>
      </c>
    </row>
    <row r="80" spans="1:11">
      <c r="A80">
        <v>77</v>
      </c>
      <c r="B80">
        <v>32</v>
      </c>
      <c r="C80" t="s">
        <v>6</v>
      </c>
      <c r="D80" t="s">
        <v>7</v>
      </c>
      <c r="E80">
        <v>0</v>
      </c>
      <c r="F80">
        <v>12</v>
      </c>
      <c r="G80">
        <v>5</v>
      </c>
      <c r="H80">
        <v>100</v>
      </c>
      <c r="I80" s="3">
        <v>0.05</v>
      </c>
      <c r="J80">
        <v>1.0042653189999999</v>
      </c>
      <c r="K80">
        <v>4</v>
      </c>
    </row>
    <row r="81" spans="1:11">
      <c r="A81">
        <v>78</v>
      </c>
      <c r="B81">
        <v>75</v>
      </c>
      <c r="C81" t="s">
        <v>38</v>
      </c>
      <c r="D81" t="s">
        <v>7</v>
      </c>
      <c r="E81">
        <v>0</v>
      </c>
      <c r="F81">
        <v>60</v>
      </c>
      <c r="G81">
        <v>5.5</v>
      </c>
      <c r="H81">
        <v>120</v>
      </c>
      <c r="I81" s="3">
        <v>0.05</v>
      </c>
      <c r="J81">
        <v>1.0042653189999999</v>
      </c>
      <c r="K81">
        <v>4</v>
      </c>
    </row>
    <row r="82" spans="1:11">
      <c r="A82">
        <v>79</v>
      </c>
      <c r="B82">
        <v>3</v>
      </c>
      <c r="C82" t="s">
        <v>6</v>
      </c>
      <c r="D82" t="s">
        <v>7</v>
      </c>
      <c r="E82">
        <v>0</v>
      </c>
      <c r="F82">
        <v>0</v>
      </c>
      <c r="G82">
        <v>5</v>
      </c>
      <c r="H82">
        <v>100</v>
      </c>
      <c r="I82" s="3">
        <v>0.05</v>
      </c>
      <c r="J82">
        <v>1.0042653189999999</v>
      </c>
      <c r="K82">
        <v>4</v>
      </c>
    </row>
    <row r="83" spans="1:11">
      <c r="A83">
        <v>80</v>
      </c>
      <c r="B83">
        <v>77</v>
      </c>
      <c r="C83" t="s">
        <v>38</v>
      </c>
      <c r="D83" t="s">
        <v>7</v>
      </c>
      <c r="E83">
        <v>0</v>
      </c>
      <c r="F83">
        <v>36</v>
      </c>
      <c r="G83">
        <v>5.5</v>
      </c>
      <c r="H83">
        <v>120</v>
      </c>
      <c r="I83" s="3">
        <v>0.05</v>
      </c>
      <c r="J83">
        <v>1.0042653189999999</v>
      </c>
      <c r="K83">
        <v>4</v>
      </c>
    </row>
    <row r="84" spans="1:11">
      <c r="A84">
        <v>81</v>
      </c>
      <c r="B84">
        <v>67</v>
      </c>
      <c r="C84" t="s">
        <v>6</v>
      </c>
      <c r="D84" t="s">
        <v>7</v>
      </c>
      <c r="E84">
        <v>0</v>
      </c>
      <c r="F84">
        <v>48</v>
      </c>
      <c r="G84">
        <v>5</v>
      </c>
      <c r="H84">
        <v>100</v>
      </c>
      <c r="I84" s="3">
        <v>0.05</v>
      </c>
      <c r="J84">
        <v>1.0042653189999999</v>
      </c>
      <c r="K84">
        <v>4</v>
      </c>
    </row>
    <row r="85" spans="1:11">
      <c r="A85">
        <v>82</v>
      </c>
      <c r="B85">
        <v>57</v>
      </c>
      <c r="C85" t="s">
        <v>38</v>
      </c>
      <c r="D85" t="s">
        <v>7</v>
      </c>
      <c r="E85">
        <v>0</v>
      </c>
      <c r="F85">
        <v>12</v>
      </c>
      <c r="G85">
        <v>5.5</v>
      </c>
      <c r="H85">
        <v>120</v>
      </c>
      <c r="I85" s="3">
        <v>0.05</v>
      </c>
      <c r="J85">
        <v>1.0042653189999999</v>
      </c>
      <c r="K85">
        <v>4</v>
      </c>
    </row>
    <row r="86" spans="1:11">
      <c r="A86">
        <v>83</v>
      </c>
      <c r="B86">
        <v>49</v>
      </c>
      <c r="C86" t="s">
        <v>6</v>
      </c>
      <c r="D86" t="s">
        <v>7</v>
      </c>
      <c r="E86">
        <v>0</v>
      </c>
      <c r="F86">
        <v>24</v>
      </c>
      <c r="G86">
        <v>5</v>
      </c>
      <c r="H86">
        <v>100</v>
      </c>
      <c r="I86" s="3">
        <v>0.05</v>
      </c>
      <c r="J86">
        <v>1.0042653189999999</v>
      </c>
      <c r="K86">
        <v>4</v>
      </c>
    </row>
    <row r="87" spans="1:11">
      <c r="A87">
        <v>84</v>
      </c>
      <c r="B87">
        <v>24</v>
      </c>
      <c r="C87" t="s">
        <v>38</v>
      </c>
      <c r="D87" t="s">
        <v>7</v>
      </c>
      <c r="E87">
        <v>0</v>
      </c>
      <c r="F87">
        <v>12</v>
      </c>
      <c r="G87">
        <v>5.5</v>
      </c>
      <c r="H87">
        <v>120</v>
      </c>
      <c r="I87" s="3">
        <v>0.05</v>
      </c>
      <c r="J87">
        <v>1.0042653189999999</v>
      </c>
      <c r="K87">
        <v>4</v>
      </c>
    </row>
    <row r="88" spans="1:11">
      <c r="A88">
        <v>85</v>
      </c>
      <c r="B88">
        <v>76</v>
      </c>
      <c r="C88" t="s">
        <v>6</v>
      </c>
      <c r="D88" t="s">
        <v>7</v>
      </c>
      <c r="E88">
        <v>0</v>
      </c>
      <c r="F88">
        <v>0</v>
      </c>
      <c r="G88">
        <v>5</v>
      </c>
      <c r="H88">
        <v>100</v>
      </c>
      <c r="I88" s="3">
        <v>0.05</v>
      </c>
      <c r="J88">
        <v>1.0042653189999999</v>
      </c>
      <c r="K88">
        <v>4</v>
      </c>
    </row>
    <row r="89" spans="1:11">
      <c r="A89">
        <v>86</v>
      </c>
      <c r="B89">
        <v>9</v>
      </c>
      <c r="C89" t="s">
        <v>38</v>
      </c>
      <c r="D89" t="s">
        <v>7</v>
      </c>
      <c r="E89">
        <v>0</v>
      </c>
      <c r="F89">
        <v>24</v>
      </c>
      <c r="G89">
        <v>5.5</v>
      </c>
      <c r="H89">
        <v>120</v>
      </c>
      <c r="I89" s="3">
        <v>0.05</v>
      </c>
      <c r="J89">
        <v>1.0042653189999999</v>
      </c>
      <c r="K89">
        <v>4</v>
      </c>
    </row>
    <row r="90" spans="1:11">
      <c r="A90">
        <v>87</v>
      </c>
      <c r="B90">
        <v>13</v>
      </c>
      <c r="C90" t="s">
        <v>6</v>
      </c>
      <c r="D90" t="s">
        <v>7</v>
      </c>
      <c r="E90">
        <v>0</v>
      </c>
      <c r="F90">
        <v>24</v>
      </c>
      <c r="G90">
        <v>5</v>
      </c>
      <c r="H90">
        <v>100</v>
      </c>
      <c r="I90" s="3">
        <v>0.05</v>
      </c>
      <c r="J90">
        <v>1.0042653189999999</v>
      </c>
      <c r="K90">
        <v>4</v>
      </c>
    </row>
    <row r="91" spans="1:11">
      <c r="A91">
        <v>88</v>
      </c>
      <c r="B91">
        <v>80</v>
      </c>
      <c r="C91" t="s">
        <v>38</v>
      </c>
      <c r="D91" t="s">
        <v>7</v>
      </c>
      <c r="E91">
        <v>0</v>
      </c>
      <c r="F91">
        <v>36</v>
      </c>
      <c r="G91">
        <v>5.5</v>
      </c>
      <c r="H91">
        <v>120</v>
      </c>
      <c r="I91" s="3">
        <v>0.05</v>
      </c>
      <c r="J91">
        <v>1.0042653189999999</v>
      </c>
      <c r="K91">
        <v>4</v>
      </c>
    </row>
    <row r="92" spans="1:11">
      <c r="A92">
        <v>89</v>
      </c>
      <c r="B92">
        <v>97</v>
      </c>
      <c r="C92" t="s">
        <v>6</v>
      </c>
      <c r="D92" t="s">
        <v>7</v>
      </c>
      <c r="E92">
        <v>0</v>
      </c>
      <c r="F92">
        <v>60</v>
      </c>
      <c r="G92">
        <v>5</v>
      </c>
      <c r="H92">
        <v>100</v>
      </c>
      <c r="I92" s="3">
        <v>0.05</v>
      </c>
      <c r="J92">
        <v>1.0042653189999999</v>
      </c>
      <c r="K92">
        <v>4</v>
      </c>
    </row>
    <row r="93" spans="1:11">
      <c r="A93">
        <v>90</v>
      </c>
      <c r="B93">
        <v>91</v>
      </c>
      <c r="C93" t="s">
        <v>38</v>
      </c>
      <c r="D93" t="s">
        <v>7</v>
      </c>
      <c r="E93">
        <v>0</v>
      </c>
      <c r="F93">
        <v>12</v>
      </c>
      <c r="G93">
        <v>5.5</v>
      </c>
      <c r="H93">
        <v>120</v>
      </c>
      <c r="I93" s="3">
        <v>0.05</v>
      </c>
      <c r="J93">
        <v>1.0042653189999999</v>
      </c>
      <c r="K93">
        <v>4</v>
      </c>
    </row>
    <row r="94" spans="1:11">
      <c r="A94">
        <v>91</v>
      </c>
      <c r="B94">
        <v>24</v>
      </c>
      <c r="C94" t="s">
        <v>6</v>
      </c>
      <c r="D94" t="s">
        <v>7</v>
      </c>
      <c r="E94">
        <v>0</v>
      </c>
      <c r="F94">
        <v>12</v>
      </c>
      <c r="G94">
        <v>5</v>
      </c>
      <c r="H94">
        <v>100</v>
      </c>
      <c r="I94" s="3">
        <v>0.05</v>
      </c>
      <c r="J94">
        <v>1.0042653189999999</v>
      </c>
      <c r="K94">
        <v>4</v>
      </c>
    </row>
    <row r="95" spans="1:11">
      <c r="A95">
        <v>92</v>
      </c>
      <c r="B95">
        <v>72</v>
      </c>
      <c r="C95" t="s">
        <v>38</v>
      </c>
      <c r="D95" t="s">
        <v>7</v>
      </c>
      <c r="E95">
        <v>0</v>
      </c>
      <c r="F95">
        <v>48</v>
      </c>
      <c r="G95">
        <v>5.5</v>
      </c>
      <c r="H95">
        <v>120</v>
      </c>
      <c r="I95" s="3">
        <v>0.05</v>
      </c>
      <c r="J95">
        <v>1.0042653189999999</v>
      </c>
      <c r="K95">
        <v>4</v>
      </c>
    </row>
    <row r="96" spans="1:11">
      <c r="A96">
        <v>93</v>
      </c>
      <c r="B96">
        <v>21</v>
      </c>
      <c r="C96" t="s">
        <v>6</v>
      </c>
      <c r="D96" t="s">
        <v>7</v>
      </c>
      <c r="E96">
        <v>0</v>
      </c>
      <c r="F96">
        <v>12</v>
      </c>
      <c r="G96">
        <v>5</v>
      </c>
      <c r="H96">
        <v>100</v>
      </c>
      <c r="I96" s="3">
        <v>0.05</v>
      </c>
      <c r="J96">
        <v>1.0042653189999999</v>
      </c>
      <c r="K96">
        <v>4</v>
      </c>
    </row>
    <row r="97" spans="1:11">
      <c r="A97">
        <v>94</v>
      </c>
      <c r="B97">
        <v>93</v>
      </c>
      <c r="C97" t="s">
        <v>38</v>
      </c>
      <c r="D97" t="s">
        <v>7</v>
      </c>
      <c r="E97">
        <v>0</v>
      </c>
      <c r="F97">
        <v>12</v>
      </c>
      <c r="G97">
        <v>5.5</v>
      </c>
      <c r="H97">
        <v>120</v>
      </c>
      <c r="I97" s="3">
        <v>0.05</v>
      </c>
      <c r="J97">
        <v>1.0042653189999999</v>
      </c>
      <c r="K97">
        <v>4</v>
      </c>
    </row>
    <row r="98" spans="1:11">
      <c r="A98">
        <v>95</v>
      </c>
      <c r="B98">
        <v>79</v>
      </c>
      <c r="C98" t="s">
        <v>6</v>
      </c>
      <c r="D98" t="s">
        <v>7</v>
      </c>
      <c r="E98">
        <v>0</v>
      </c>
      <c r="F98">
        <v>60</v>
      </c>
      <c r="G98">
        <v>5</v>
      </c>
      <c r="H98">
        <v>100</v>
      </c>
      <c r="I98" s="3">
        <v>0.05</v>
      </c>
      <c r="J98">
        <v>1.0042653189999999</v>
      </c>
      <c r="K98">
        <v>4</v>
      </c>
    </row>
    <row r="99" spans="1:11">
      <c r="A99">
        <v>96</v>
      </c>
      <c r="B99">
        <v>81</v>
      </c>
      <c r="C99" t="s">
        <v>38</v>
      </c>
      <c r="D99" t="s">
        <v>7</v>
      </c>
      <c r="E99">
        <v>0</v>
      </c>
      <c r="F99">
        <v>12</v>
      </c>
      <c r="G99">
        <v>5.5</v>
      </c>
      <c r="H99">
        <v>120</v>
      </c>
      <c r="I99" s="3">
        <v>0.05</v>
      </c>
      <c r="J99">
        <v>1.0042653189999999</v>
      </c>
      <c r="K99">
        <v>4</v>
      </c>
    </row>
    <row r="100" spans="1:11">
      <c r="A100">
        <v>97</v>
      </c>
      <c r="B100">
        <v>81</v>
      </c>
      <c r="C100" t="s">
        <v>6</v>
      </c>
      <c r="D100" t="s">
        <v>7</v>
      </c>
      <c r="E100">
        <v>0</v>
      </c>
      <c r="F100">
        <v>12</v>
      </c>
      <c r="G100">
        <v>5</v>
      </c>
      <c r="H100">
        <v>100</v>
      </c>
      <c r="I100" s="3">
        <v>0.05</v>
      </c>
      <c r="J100">
        <v>1.0042653189999999</v>
      </c>
      <c r="K100">
        <v>4</v>
      </c>
    </row>
    <row r="101" spans="1:11">
      <c r="A101">
        <v>98</v>
      </c>
      <c r="B101">
        <v>65</v>
      </c>
      <c r="C101" t="s">
        <v>38</v>
      </c>
      <c r="D101" t="s">
        <v>7</v>
      </c>
      <c r="E101">
        <v>0</v>
      </c>
      <c r="F101">
        <v>48</v>
      </c>
      <c r="G101">
        <v>5.5</v>
      </c>
      <c r="H101">
        <v>120</v>
      </c>
      <c r="I101" s="3">
        <v>0.05</v>
      </c>
      <c r="J101">
        <v>1.0042653189999999</v>
      </c>
      <c r="K101">
        <v>4</v>
      </c>
    </row>
    <row r="102" spans="1:11">
      <c r="A102">
        <v>99</v>
      </c>
      <c r="B102">
        <v>84</v>
      </c>
      <c r="C102" t="s">
        <v>6</v>
      </c>
      <c r="D102" t="s">
        <v>7</v>
      </c>
      <c r="E102">
        <v>0</v>
      </c>
      <c r="F102">
        <v>0</v>
      </c>
      <c r="G102">
        <v>5</v>
      </c>
      <c r="H102">
        <v>100</v>
      </c>
      <c r="I102" s="3">
        <v>0.05</v>
      </c>
      <c r="J102">
        <v>1.0042653189999999</v>
      </c>
      <c r="K102">
        <v>4</v>
      </c>
    </row>
    <row r="103" spans="1:11">
      <c r="A103">
        <v>100</v>
      </c>
      <c r="B103">
        <v>0</v>
      </c>
      <c r="C103" t="s">
        <v>38</v>
      </c>
      <c r="D103" t="s">
        <v>7</v>
      </c>
      <c r="E103">
        <v>0</v>
      </c>
      <c r="F103">
        <v>36</v>
      </c>
      <c r="G103">
        <v>5.5</v>
      </c>
      <c r="H103">
        <v>120</v>
      </c>
      <c r="I103" s="3">
        <v>0.05</v>
      </c>
      <c r="J103">
        <v>1.0042653189999999</v>
      </c>
      <c r="K103">
        <v>4</v>
      </c>
    </row>
    <row r="104" spans="1:11">
      <c r="A104">
        <v>101</v>
      </c>
      <c r="B104">
        <v>90</v>
      </c>
      <c r="C104" t="s">
        <v>6</v>
      </c>
      <c r="D104" t="s">
        <v>7</v>
      </c>
      <c r="E104">
        <v>0</v>
      </c>
      <c r="F104">
        <v>24</v>
      </c>
      <c r="G104">
        <v>5</v>
      </c>
      <c r="H104">
        <v>100</v>
      </c>
      <c r="I104" s="3">
        <v>0.05</v>
      </c>
      <c r="J104">
        <v>1.0042653189999999</v>
      </c>
      <c r="K104">
        <v>4</v>
      </c>
    </row>
    <row r="105" spans="1:11">
      <c r="A105">
        <v>102</v>
      </c>
      <c r="B105">
        <v>61</v>
      </c>
      <c r="C105" t="s">
        <v>38</v>
      </c>
      <c r="D105" t="s">
        <v>7</v>
      </c>
      <c r="E105">
        <v>0</v>
      </c>
      <c r="F105">
        <v>48</v>
      </c>
      <c r="G105">
        <v>5.5</v>
      </c>
      <c r="H105">
        <v>120</v>
      </c>
      <c r="I105" s="3">
        <v>0.05</v>
      </c>
      <c r="J105">
        <v>1.0042653189999999</v>
      </c>
      <c r="K105">
        <v>4</v>
      </c>
    </row>
    <row r="106" spans="1:11">
      <c r="A106">
        <v>103</v>
      </c>
      <c r="B106">
        <v>76</v>
      </c>
      <c r="C106" t="s">
        <v>6</v>
      </c>
      <c r="D106" t="s">
        <v>7</v>
      </c>
      <c r="E106">
        <v>0</v>
      </c>
      <c r="F106">
        <v>48</v>
      </c>
      <c r="G106">
        <v>5</v>
      </c>
      <c r="H106">
        <v>100</v>
      </c>
      <c r="I106" s="3">
        <v>0.05</v>
      </c>
      <c r="J106">
        <v>1.0042653189999999</v>
      </c>
      <c r="K106">
        <v>4</v>
      </c>
    </row>
    <row r="107" spans="1:11">
      <c r="A107">
        <v>104</v>
      </c>
      <c r="B107">
        <v>90</v>
      </c>
      <c r="C107" t="s">
        <v>38</v>
      </c>
      <c r="D107" t="s">
        <v>7</v>
      </c>
      <c r="E107">
        <v>0</v>
      </c>
      <c r="F107">
        <v>0</v>
      </c>
      <c r="G107">
        <v>5.5</v>
      </c>
      <c r="H107">
        <v>120</v>
      </c>
      <c r="I107" s="3">
        <v>0.05</v>
      </c>
      <c r="J107">
        <v>1.0042653189999999</v>
      </c>
      <c r="K107">
        <v>4</v>
      </c>
    </row>
    <row r="108" spans="1:11">
      <c r="A108">
        <v>105</v>
      </c>
      <c r="B108">
        <v>32</v>
      </c>
      <c r="C108" t="s">
        <v>6</v>
      </c>
      <c r="D108" t="s">
        <v>7</v>
      </c>
      <c r="E108">
        <v>0</v>
      </c>
      <c r="F108">
        <v>0</v>
      </c>
      <c r="G108">
        <v>5</v>
      </c>
      <c r="H108">
        <v>100</v>
      </c>
      <c r="I108" s="3">
        <v>0.05</v>
      </c>
      <c r="J108">
        <v>1.0042653189999999</v>
      </c>
      <c r="K108">
        <v>4</v>
      </c>
    </row>
    <row r="109" spans="1:11">
      <c r="A109">
        <v>106</v>
      </c>
      <c r="B109">
        <v>72</v>
      </c>
      <c r="C109" t="s">
        <v>38</v>
      </c>
      <c r="D109" t="s">
        <v>7</v>
      </c>
      <c r="E109">
        <v>0</v>
      </c>
      <c r="F109">
        <v>12</v>
      </c>
      <c r="G109">
        <v>5.5</v>
      </c>
      <c r="H109">
        <v>120</v>
      </c>
      <c r="I109" s="3">
        <v>0.05</v>
      </c>
      <c r="J109">
        <v>1.0042653189999999</v>
      </c>
      <c r="K109">
        <v>4</v>
      </c>
    </row>
    <row r="110" spans="1:11">
      <c r="A110">
        <v>107</v>
      </c>
      <c r="B110">
        <v>66</v>
      </c>
      <c r="C110" t="s">
        <v>6</v>
      </c>
      <c r="D110" t="s">
        <v>7</v>
      </c>
      <c r="E110">
        <v>0</v>
      </c>
      <c r="F110">
        <v>12</v>
      </c>
      <c r="G110">
        <v>5</v>
      </c>
      <c r="H110">
        <v>100</v>
      </c>
      <c r="I110" s="3">
        <v>0.05</v>
      </c>
      <c r="J110">
        <v>1.0042653189999999</v>
      </c>
      <c r="K110">
        <v>4</v>
      </c>
    </row>
    <row r="111" spans="1:11">
      <c r="A111">
        <v>108</v>
      </c>
      <c r="B111">
        <v>51</v>
      </c>
      <c r="C111" t="s">
        <v>38</v>
      </c>
      <c r="D111" t="s">
        <v>7</v>
      </c>
      <c r="E111">
        <v>0</v>
      </c>
      <c r="F111">
        <v>12</v>
      </c>
      <c r="G111">
        <v>5.5</v>
      </c>
      <c r="H111">
        <v>120</v>
      </c>
      <c r="I111" s="3">
        <v>0.05</v>
      </c>
      <c r="J111">
        <v>1.0042653189999999</v>
      </c>
      <c r="K111">
        <v>4</v>
      </c>
    </row>
    <row r="112" spans="1:11">
      <c r="A112">
        <v>109</v>
      </c>
      <c r="B112">
        <v>99</v>
      </c>
      <c r="C112" t="s">
        <v>6</v>
      </c>
      <c r="D112" t="s">
        <v>7</v>
      </c>
      <c r="E112">
        <v>0</v>
      </c>
      <c r="F112">
        <v>36</v>
      </c>
      <c r="G112">
        <v>5</v>
      </c>
      <c r="H112">
        <v>100</v>
      </c>
      <c r="I112" s="3">
        <v>0.05</v>
      </c>
      <c r="J112">
        <v>1.0042653189999999</v>
      </c>
      <c r="K112">
        <v>4</v>
      </c>
    </row>
    <row r="113" spans="1:11">
      <c r="A113">
        <v>110</v>
      </c>
      <c r="B113">
        <v>77</v>
      </c>
      <c r="C113" t="s">
        <v>38</v>
      </c>
      <c r="D113" t="s">
        <v>7</v>
      </c>
      <c r="E113">
        <v>0</v>
      </c>
      <c r="F113">
        <v>24</v>
      </c>
      <c r="G113">
        <v>5.5</v>
      </c>
      <c r="H113">
        <v>120</v>
      </c>
      <c r="I113" s="3">
        <v>0.05</v>
      </c>
      <c r="J113">
        <v>1.0042653189999999</v>
      </c>
      <c r="K113">
        <v>4</v>
      </c>
    </row>
    <row r="114" spans="1:11">
      <c r="A114">
        <v>111</v>
      </c>
      <c r="B114">
        <v>59</v>
      </c>
      <c r="C114" t="s">
        <v>6</v>
      </c>
      <c r="D114" t="s">
        <v>7</v>
      </c>
      <c r="E114">
        <v>0</v>
      </c>
      <c r="F114">
        <v>12</v>
      </c>
      <c r="G114">
        <v>5</v>
      </c>
      <c r="H114">
        <v>100</v>
      </c>
      <c r="I114" s="3">
        <v>0.05</v>
      </c>
      <c r="J114">
        <v>1.0042653189999999</v>
      </c>
      <c r="K114">
        <v>4</v>
      </c>
    </row>
    <row r="115" spans="1:11">
      <c r="A115">
        <v>112</v>
      </c>
      <c r="B115">
        <v>94</v>
      </c>
      <c r="C115" t="s">
        <v>38</v>
      </c>
      <c r="D115" t="s">
        <v>7</v>
      </c>
      <c r="E115">
        <v>0</v>
      </c>
      <c r="F115">
        <v>60</v>
      </c>
      <c r="G115">
        <v>5.5</v>
      </c>
      <c r="H115">
        <v>120</v>
      </c>
      <c r="I115" s="3">
        <v>0.05</v>
      </c>
      <c r="J115">
        <v>1.0042653189999999</v>
      </c>
      <c r="K115">
        <v>4</v>
      </c>
    </row>
    <row r="116" spans="1:11">
      <c r="A116">
        <v>113</v>
      </c>
      <c r="B116">
        <v>31</v>
      </c>
      <c r="C116" t="s">
        <v>6</v>
      </c>
      <c r="D116" t="s">
        <v>7</v>
      </c>
      <c r="E116">
        <v>0</v>
      </c>
      <c r="F116">
        <v>36</v>
      </c>
      <c r="G116">
        <v>5</v>
      </c>
      <c r="H116">
        <v>100</v>
      </c>
      <c r="I116" s="3">
        <v>0.05</v>
      </c>
      <c r="J116">
        <v>1.0042653189999999</v>
      </c>
      <c r="K116">
        <v>4</v>
      </c>
    </row>
    <row r="117" spans="1:11">
      <c r="A117">
        <v>114</v>
      </c>
      <c r="B117">
        <v>15</v>
      </c>
      <c r="C117" t="s">
        <v>38</v>
      </c>
      <c r="D117" t="s">
        <v>7</v>
      </c>
      <c r="E117">
        <v>0</v>
      </c>
      <c r="F117">
        <v>24</v>
      </c>
      <c r="G117">
        <v>5.5</v>
      </c>
      <c r="H117">
        <v>120</v>
      </c>
      <c r="I117" s="3">
        <v>0.05</v>
      </c>
      <c r="J117">
        <v>1.0042653189999999</v>
      </c>
      <c r="K117">
        <v>4</v>
      </c>
    </row>
    <row r="118" spans="1:11">
      <c r="A118">
        <v>115</v>
      </c>
      <c r="B118">
        <v>12</v>
      </c>
      <c r="C118" t="s">
        <v>6</v>
      </c>
      <c r="D118" t="s">
        <v>7</v>
      </c>
      <c r="E118">
        <v>0</v>
      </c>
      <c r="F118">
        <v>48</v>
      </c>
      <c r="G118">
        <v>5</v>
      </c>
      <c r="H118">
        <v>100</v>
      </c>
      <c r="I118" s="3">
        <v>0.05</v>
      </c>
      <c r="J118">
        <v>1.0042653189999999</v>
      </c>
      <c r="K118">
        <v>4</v>
      </c>
    </row>
    <row r="119" spans="1:11">
      <c r="A119">
        <v>116</v>
      </c>
      <c r="B119">
        <v>18</v>
      </c>
      <c r="C119" t="s">
        <v>38</v>
      </c>
      <c r="D119" t="s">
        <v>7</v>
      </c>
      <c r="E119">
        <v>0</v>
      </c>
      <c r="F119">
        <v>48</v>
      </c>
      <c r="G119">
        <v>5.5</v>
      </c>
      <c r="H119">
        <v>120</v>
      </c>
      <c r="I119" s="3">
        <v>0.05</v>
      </c>
      <c r="J119">
        <v>1.0042653189999999</v>
      </c>
      <c r="K119">
        <v>4</v>
      </c>
    </row>
    <row r="120" spans="1:11">
      <c r="A120">
        <v>117</v>
      </c>
      <c r="B120">
        <v>72</v>
      </c>
      <c r="C120" t="s">
        <v>6</v>
      </c>
      <c r="D120" t="s">
        <v>7</v>
      </c>
      <c r="E120">
        <v>0</v>
      </c>
      <c r="F120">
        <v>36</v>
      </c>
      <c r="G120">
        <v>5</v>
      </c>
      <c r="H120">
        <v>100</v>
      </c>
      <c r="I120" s="3">
        <v>0.05</v>
      </c>
      <c r="J120">
        <v>1.0042653189999999</v>
      </c>
      <c r="K120">
        <v>4</v>
      </c>
    </row>
    <row r="121" spans="1:11">
      <c r="A121">
        <v>118</v>
      </c>
      <c r="B121">
        <v>9</v>
      </c>
      <c r="C121" t="s">
        <v>38</v>
      </c>
      <c r="D121" t="s">
        <v>7</v>
      </c>
      <c r="E121">
        <v>0</v>
      </c>
      <c r="F121">
        <v>0</v>
      </c>
      <c r="G121">
        <v>5.5</v>
      </c>
      <c r="H121">
        <v>120</v>
      </c>
      <c r="I121" s="3">
        <v>0.05</v>
      </c>
      <c r="J121">
        <v>1.0042653189999999</v>
      </c>
      <c r="K121">
        <v>4</v>
      </c>
    </row>
    <row r="122" spans="1:11">
      <c r="A122">
        <v>119</v>
      </c>
      <c r="B122">
        <v>29</v>
      </c>
      <c r="C122" t="s">
        <v>6</v>
      </c>
      <c r="D122" t="s">
        <v>7</v>
      </c>
      <c r="E122">
        <v>0</v>
      </c>
      <c r="F122">
        <v>12</v>
      </c>
      <c r="G122">
        <v>5</v>
      </c>
      <c r="H122">
        <v>100</v>
      </c>
      <c r="I122" s="3">
        <v>0.05</v>
      </c>
      <c r="J122">
        <v>1.0042653189999999</v>
      </c>
      <c r="K122">
        <v>4</v>
      </c>
    </row>
    <row r="123" spans="1:11">
      <c r="A123">
        <v>120</v>
      </c>
      <c r="B123">
        <v>30</v>
      </c>
      <c r="C123" t="s">
        <v>38</v>
      </c>
      <c r="D123" t="s">
        <v>7</v>
      </c>
      <c r="E123">
        <v>0</v>
      </c>
      <c r="F123">
        <v>60</v>
      </c>
      <c r="G123">
        <v>5.5</v>
      </c>
      <c r="H123">
        <v>120</v>
      </c>
      <c r="I123" s="3">
        <v>0.05</v>
      </c>
      <c r="J123">
        <v>1.0042653189999999</v>
      </c>
      <c r="K123">
        <v>4</v>
      </c>
    </row>
    <row r="124" spans="1:11">
      <c r="A124">
        <v>121</v>
      </c>
      <c r="B124">
        <v>38</v>
      </c>
      <c r="C124" t="s">
        <v>6</v>
      </c>
      <c r="D124" t="s">
        <v>7</v>
      </c>
      <c r="E124">
        <v>0</v>
      </c>
      <c r="F124">
        <v>12</v>
      </c>
      <c r="G124">
        <v>5</v>
      </c>
      <c r="H124">
        <v>100</v>
      </c>
      <c r="I124" s="3">
        <v>0.05</v>
      </c>
      <c r="J124">
        <v>1.0042653189999999</v>
      </c>
      <c r="K124">
        <v>4</v>
      </c>
    </row>
    <row r="125" spans="1:11">
      <c r="A125">
        <v>122</v>
      </c>
      <c r="B125">
        <v>54</v>
      </c>
      <c r="C125" t="s">
        <v>38</v>
      </c>
      <c r="D125" t="s">
        <v>7</v>
      </c>
      <c r="E125">
        <v>0</v>
      </c>
      <c r="F125">
        <v>36</v>
      </c>
      <c r="G125">
        <v>5.5</v>
      </c>
      <c r="H125">
        <v>120</v>
      </c>
      <c r="I125" s="3">
        <v>0.05</v>
      </c>
      <c r="J125">
        <v>1.0042653189999999</v>
      </c>
      <c r="K125">
        <v>4</v>
      </c>
    </row>
    <row r="126" spans="1:11">
      <c r="A126">
        <v>123</v>
      </c>
      <c r="B126">
        <v>65</v>
      </c>
      <c r="C126" t="s">
        <v>6</v>
      </c>
      <c r="D126" t="s">
        <v>7</v>
      </c>
      <c r="E126">
        <v>0</v>
      </c>
      <c r="F126">
        <v>12</v>
      </c>
      <c r="G126">
        <v>5</v>
      </c>
      <c r="H126">
        <v>100</v>
      </c>
      <c r="I126" s="3">
        <v>0.05</v>
      </c>
      <c r="J126">
        <v>1.0042653189999999</v>
      </c>
      <c r="K126">
        <v>4</v>
      </c>
    </row>
    <row r="127" spans="1:11">
      <c r="A127">
        <v>124</v>
      </c>
      <c r="B127">
        <v>93</v>
      </c>
      <c r="C127" t="s">
        <v>38</v>
      </c>
      <c r="D127" t="s">
        <v>7</v>
      </c>
      <c r="E127">
        <v>0</v>
      </c>
      <c r="F127">
        <v>12</v>
      </c>
      <c r="G127">
        <v>5.5</v>
      </c>
      <c r="H127">
        <v>120</v>
      </c>
      <c r="I127" s="3">
        <v>0.05</v>
      </c>
      <c r="J127">
        <v>1.0042653189999999</v>
      </c>
      <c r="K127">
        <v>4</v>
      </c>
    </row>
    <row r="128" spans="1:11">
      <c r="A128">
        <v>125</v>
      </c>
      <c r="B128">
        <v>72</v>
      </c>
      <c r="C128" t="s">
        <v>6</v>
      </c>
      <c r="D128" t="s">
        <v>7</v>
      </c>
      <c r="E128">
        <v>0</v>
      </c>
      <c r="F128">
        <v>24</v>
      </c>
      <c r="G128">
        <v>5</v>
      </c>
      <c r="H128">
        <v>100</v>
      </c>
      <c r="I128" s="3">
        <v>0.05</v>
      </c>
      <c r="J128">
        <v>1.0042653189999999</v>
      </c>
      <c r="K128">
        <v>4</v>
      </c>
    </row>
    <row r="129" spans="1:11">
      <c r="A129">
        <v>126</v>
      </c>
      <c r="B129">
        <v>49</v>
      </c>
      <c r="C129" t="s">
        <v>38</v>
      </c>
      <c r="D129" t="s">
        <v>7</v>
      </c>
      <c r="E129">
        <v>0</v>
      </c>
      <c r="F129">
        <v>48</v>
      </c>
      <c r="G129">
        <v>5.5</v>
      </c>
      <c r="H129">
        <v>120</v>
      </c>
      <c r="I129" s="3">
        <v>0.05</v>
      </c>
      <c r="J129">
        <v>1.0042653189999999</v>
      </c>
      <c r="K129">
        <v>4</v>
      </c>
    </row>
    <row r="130" spans="1:11">
      <c r="A130">
        <v>127</v>
      </c>
      <c r="B130">
        <v>60</v>
      </c>
      <c r="C130" t="s">
        <v>6</v>
      </c>
      <c r="D130" t="s">
        <v>7</v>
      </c>
      <c r="E130">
        <v>0</v>
      </c>
      <c r="F130">
        <v>24</v>
      </c>
      <c r="G130">
        <v>5</v>
      </c>
      <c r="H130">
        <v>100</v>
      </c>
      <c r="I130" s="3">
        <v>0.05</v>
      </c>
      <c r="J130">
        <v>1.0042653189999999</v>
      </c>
      <c r="K130">
        <v>4</v>
      </c>
    </row>
    <row r="131" spans="1:11">
      <c r="A131">
        <v>128</v>
      </c>
      <c r="B131">
        <v>65</v>
      </c>
      <c r="C131" t="s">
        <v>38</v>
      </c>
      <c r="D131" t="s">
        <v>7</v>
      </c>
      <c r="E131">
        <v>0</v>
      </c>
      <c r="F131">
        <v>24</v>
      </c>
      <c r="G131">
        <v>5.5</v>
      </c>
      <c r="H131">
        <v>120</v>
      </c>
      <c r="I131" s="3">
        <v>0.05</v>
      </c>
      <c r="J131">
        <v>1.0042653189999999</v>
      </c>
      <c r="K131">
        <v>4</v>
      </c>
    </row>
    <row r="132" spans="1:11">
      <c r="A132">
        <v>129</v>
      </c>
      <c r="B132">
        <v>62</v>
      </c>
      <c r="C132" t="s">
        <v>6</v>
      </c>
      <c r="D132" t="s">
        <v>7</v>
      </c>
      <c r="E132">
        <v>0</v>
      </c>
      <c r="F132">
        <v>60</v>
      </c>
      <c r="G132">
        <v>5</v>
      </c>
      <c r="H132">
        <v>100</v>
      </c>
      <c r="I132" s="3">
        <v>0.05</v>
      </c>
      <c r="J132">
        <v>1.0042653189999999</v>
      </c>
      <c r="K132">
        <v>4</v>
      </c>
    </row>
    <row r="133" spans="1:11">
      <c r="A133">
        <v>130</v>
      </c>
      <c r="B133">
        <v>76</v>
      </c>
      <c r="C133" t="s">
        <v>38</v>
      </c>
      <c r="D133" t="s">
        <v>7</v>
      </c>
      <c r="E133">
        <v>0</v>
      </c>
      <c r="F133">
        <v>12</v>
      </c>
      <c r="G133">
        <v>5.5</v>
      </c>
      <c r="H133">
        <v>120</v>
      </c>
      <c r="I133" s="3">
        <v>0.05</v>
      </c>
      <c r="J133">
        <v>1.0042653189999999</v>
      </c>
      <c r="K133">
        <v>4</v>
      </c>
    </row>
    <row r="134" spans="1:11">
      <c r="A134">
        <v>131</v>
      </c>
      <c r="B134">
        <v>2</v>
      </c>
      <c r="C134" t="s">
        <v>6</v>
      </c>
      <c r="D134" t="s">
        <v>7</v>
      </c>
      <c r="E134">
        <v>0</v>
      </c>
      <c r="F134">
        <v>24</v>
      </c>
      <c r="G134">
        <v>5</v>
      </c>
      <c r="H134">
        <v>100</v>
      </c>
      <c r="I134" s="3">
        <v>0.05</v>
      </c>
      <c r="J134">
        <v>1.0042653189999999</v>
      </c>
      <c r="K134">
        <v>4</v>
      </c>
    </row>
    <row r="135" spans="1:11">
      <c r="A135">
        <v>132</v>
      </c>
      <c r="B135">
        <v>10</v>
      </c>
      <c r="C135" t="s">
        <v>38</v>
      </c>
      <c r="D135" t="s">
        <v>7</v>
      </c>
      <c r="E135">
        <v>0</v>
      </c>
      <c r="F135">
        <v>60</v>
      </c>
      <c r="G135">
        <v>5.5</v>
      </c>
      <c r="H135">
        <v>120</v>
      </c>
      <c r="I135" s="3">
        <v>0.05</v>
      </c>
      <c r="J135">
        <v>1.0042653189999999</v>
      </c>
      <c r="K135">
        <v>4</v>
      </c>
    </row>
    <row r="136" spans="1:11">
      <c r="A136">
        <v>133</v>
      </c>
      <c r="B136">
        <v>71</v>
      </c>
      <c r="C136" t="s">
        <v>6</v>
      </c>
      <c r="D136" t="s">
        <v>7</v>
      </c>
      <c r="E136">
        <v>0</v>
      </c>
      <c r="F136">
        <v>12</v>
      </c>
      <c r="G136">
        <v>5</v>
      </c>
      <c r="H136">
        <v>100</v>
      </c>
      <c r="I136" s="3">
        <v>0.05</v>
      </c>
      <c r="J136">
        <v>1.0042653189999999</v>
      </c>
      <c r="K136">
        <v>4</v>
      </c>
    </row>
    <row r="137" spans="1:11">
      <c r="A137">
        <v>134</v>
      </c>
      <c r="B137">
        <v>83</v>
      </c>
      <c r="C137" t="s">
        <v>38</v>
      </c>
      <c r="D137" t="s">
        <v>7</v>
      </c>
      <c r="E137">
        <v>0</v>
      </c>
      <c r="F137">
        <v>0</v>
      </c>
      <c r="G137">
        <v>5.5</v>
      </c>
      <c r="H137">
        <v>120</v>
      </c>
      <c r="I137" s="3">
        <v>0.05</v>
      </c>
      <c r="J137">
        <v>1.0042653189999999</v>
      </c>
      <c r="K137">
        <v>4</v>
      </c>
    </row>
    <row r="138" spans="1:11">
      <c r="A138">
        <v>135</v>
      </c>
      <c r="B138">
        <v>59</v>
      </c>
      <c r="C138" t="s">
        <v>6</v>
      </c>
      <c r="D138" t="s">
        <v>7</v>
      </c>
      <c r="E138">
        <v>0</v>
      </c>
      <c r="F138">
        <v>36</v>
      </c>
      <c r="G138">
        <v>5</v>
      </c>
      <c r="H138">
        <v>100</v>
      </c>
      <c r="I138" s="3">
        <v>0.05</v>
      </c>
      <c r="J138">
        <v>1.0042653189999999</v>
      </c>
      <c r="K138">
        <v>4</v>
      </c>
    </row>
    <row r="139" spans="1:11">
      <c r="A139">
        <v>136</v>
      </c>
      <c r="B139">
        <v>2</v>
      </c>
      <c r="C139" t="s">
        <v>38</v>
      </c>
      <c r="D139" t="s">
        <v>7</v>
      </c>
      <c r="E139">
        <v>0</v>
      </c>
      <c r="F139">
        <v>36</v>
      </c>
      <c r="G139">
        <v>5.5</v>
      </c>
      <c r="H139">
        <v>120</v>
      </c>
      <c r="I139" s="3">
        <v>0.05</v>
      </c>
      <c r="J139">
        <v>1.0042653189999999</v>
      </c>
      <c r="K139">
        <v>4</v>
      </c>
    </row>
    <row r="140" spans="1:11">
      <c r="A140">
        <v>137</v>
      </c>
      <c r="B140">
        <v>8</v>
      </c>
      <c r="C140" t="s">
        <v>6</v>
      </c>
      <c r="D140" t="s">
        <v>7</v>
      </c>
      <c r="E140">
        <v>0</v>
      </c>
      <c r="F140">
        <v>48</v>
      </c>
      <c r="G140">
        <v>5</v>
      </c>
      <c r="H140">
        <v>100</v>
      </c>
      <c r="I140" s="3">
        <v>0.05</v>
      </c>
      <c r="J140">
        <v>1.0042653189999999</v>
      </c>
      <c r="K140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4483B-2C04-FE4B-85DD-F01B4D4D5B71}">
  <sheetPr codeName="Sheet6"/>
  <dimension ref="A1:AF133"/>
  <sheetViews>
    <sheetView tabSelected="1" topLeftCell="L1" zoomScale="98" zoomScaleNormal="98" workbookViewId="0">
      <selection activeCell="X4" sqref="X4"/>
    </sheetView>
  </sheetViews>
  <sheetFormatPr baseColWidth="10" defaultColWidth="8.83203125" defaultRowHeight="15"/>
  <cols>
    <col min="1" max="1" width="14.5" bestFit="1" customWidth="1"/>
    <col min="2" max="2" width="10.1640625" bestFit="1" customWidth="1"/>
    <col min="3" max="3" width="11.1640625" bestFit="1" customWidth="1"/>
    <col min="4" max="4" width="11.83203125" bestFit="1" customWidth="1"/>
    <col min="7" max="7" width="13.1640625" bestFit="1" customWidth="1"/>
    <col min="16" max="16" width="25" customWidth="1"/>
    <col min="17" max="18" width="11.83203125" customWidth="1"/>
    <col min="19" max="19" width="65.33203125" bestFit="1" customWidth="1"/>
    <col min="20" max="20" width="15.1640625" bestFit="1" customWidth="1"/>
    <col min="21" max="21" width="18.83203125" customWidth="1"/>
    <col min="23" max="23" width="19.5" customWidth="1"/>
  </cols>
  <sheetData>
    <row r="1" spans="1:32">
      <c r="A1" t="s">
        <v>23</v>
      </c>
      <c r="S1" s="1" t="s">
        <v>43</v>
      </c>
      <c r="Y1" t="s">
        <v>42</v>
      </c>
    </row>
    <row r="2" spans="1:32">
      <c r="C2" t="s">
        <v>8</v>
      </c>
      <c r="N2" t="s">
        <v>10</v>
      </c>
      <c r="O2" t="s">
        <v>15</v>
      </c>
      <c r="P2" t="s">
        <v>14</v>
      </c>
      <c r="Q2" t="s">
        <v>30</v>
      </c>
      <c r="R2" t="s">
        <v>33</v>
      </c>
      <c r="S2" t="s">
        <v>40</v>
      </c>
      <c r="T2" t="s">
        <v>11</v>
      </c>
      <c r="U2" t="s">
        <v>12</v>
      </c>
      <c r="V2" t="s">
        <v>25</v>
      </c>
      <c r="W2" t="s">
        <v>21</v>
      </c>
      <c r="Y2" t="s">
        <v>14</v>
      </c>
      <c r="Z2" t="s">
        <v>30</v>
      </c>
      <c r="AA2" t="s">
        <v>33</v>
      </c>
      <c r="AB2" t="s">
        <v>40</v>
      </c>
      <c r="AC2" t="s">
        <v>11</v>
      </c>
      <c r="AD2" t="s">
        <v>12</v>
      </c>
      <c r="AE2" t="s">
        <v>25</v>
      </c>
      <c r="AF2" t="s">
        <v>21</v>
      </c>
    </row>
    <row r="3" spans="1:32">
      <c r="A3" t="s">
        <v>4</v>
      </c>
      <c r="B3" s="1">
        <f>Data!A$1</f>
        <v>1</v>
      </c>
      <c r="N3">
        <v>0</v>
      </c>
      <c r="O3">
        <f>B4</f>
        <v>30</v>
      </c>
      <c r="P3">
        <v>1</v>
      </c>
      <c r="Q3">
        <v>0</v>
      </c>
      <c r="S3">
        <v>0</v>
      </c>
      <c r="T3">
        <f>IF(MOD(N3,12)=0,$B$9,0)*P3*(N3&lt;$B$8)</f>
        <v>5</v>
      </c>
      <c r="U3">
        <v>0</v>
      </c>
      <c r="V3">
        <v>0</v>
      </c>
      <c r="W3" s="8">
        <f t="shared" ref="W3:W61" si="0">W4/$B$12+SUM(U3,V3)-T3</f>
        <v>-19.829790822377721</v>
      </c>
      <c r="Y3">
        <v>137</v>
      </c>
      <c r="Z3">
        <v>0</v>
      </c>
      <c r="AA3">
        <v>0</v>
      </c>
      <c r="AB3">
        <v>0</v>
      </c>
      <c r="AC3">
        <v>719</v>
      </c>
      <c r="AD3">
        <v>0</v>
      </c>
      <c r="AE3">
        <v>0</v>
      </c>
      <c r="AF3">
        <v>-1202.7560719474834</v>
      </c>
    </row>
    <row r="4" spans="1:32">
      <c r="A4" t="s">
        <v>0</v>
      </c>
      <c r="B4" s="1">
        <f>Data!B$1</f>
        <v>30</v>
      </c>
      <c r="N4">
        <v>1</v>
      </c>
      <c r="O4">
        <f>O3</f>
        <v>30</v>
      </c>
      <c r="P4" s="8">
        <f>_xlfn.IFNA(P3-Q4-R4-S4,0)*(N4&lt;=$B$8)</f>
        <v>0.99997505915414031</v>
      </c>
      <c r="Q4">
        <f t="shared" ref="Q4:Q35" si="1">_xlfn.IFNA(P3*VLOOKUP(O4,Mortality_Table,IF($B$5="M",4,5),FALSE),0)*(N4&lt;=$B$8)</f>
        <v>2.492008194066031E-5</v>
      </c>
      <c r="R4">
        <f>_xlfn.IFNA(IF(MOD(N4,3)=0,VLOOKUP(_xlfn.FLOOR.MATH((N4-1)/12),$A$18:$D$24,3,FALSE),0)*P3,0)*(N4&lt;=$B$8)</f>
        <v>0</v>
      </c>
      <c r="S4" s="9">
        <f t="shared" ref="S4:S35" si="2">_xlfn.IFNA(P3*VLOOKUP(O4,Morbidity_Table,IF($B$5="M",4,5),FALSE),0)*(N4&lt;=$B$8)</f>
        <v>2.0763919028610189E-8</v>
      </c>
      <c r="T4">
        <f t="shared" ref="T4:T63" si="3">IF(MOD(N4,12)=0,$B$9,0)*P4*(N4&lt;$B$8)</f>
        <v>0</v>
      </c>
      <c r="U4">
        <f>Q4*$B$10</f>
        <v>2.492008194066031E-3</v>
      </c>
      <c r="V4">
        <f>$B$14*S4</f>
        <v>2.0763919028610189E-6</v>
      </c>
      <c r="W4">
        <f t="shared" si="0"/>
        <v>-14.893044610938434</v>
      </c>
      <c r="Y4">
        <v>136.61369511131173</v>
      </c>
      <c r="Z4">
        <v>0.38630488868831503</v>
      </c>
      <c r="AA4">
        <v>0</v>
      </c>
      <c r="AB4">
        <v>3.4830809768160442E-3</v>
      </c>
      <c r="AC4">
        <v>0</v>
      </c>
      <c r="AD4">
        <v>41.302169627331253</v>
      </c>
      <c r="AE4">
        <v>0.34830809768160442</v>
      </c>
      <c r="AF4">
        <v>-485.81944591252625</v>
      </c>
    </row>
    <row r="5" spans="1:32">
      <c r="A5" t="s">
        <v>1</v>
      </c>
      <c r="B5" s="1" t="str">
        <f>Data!C$1</f>
        <v>M</v>
      </c>
      <c r="N5">
        <v>2</v>
      </c>
      <c r="O5">
        <f t="shared" ref="O5:O63" si="4">IF(MOD(N5,12)=1,O4+1,O4)</f>
        <v>30</v>
      </c>
      <c r="P5" s="8">
        <f t="shared" ref="P5:P68" si="5">_xlfn.IFNA(P4-Q5-R5-S5,0)*(N5&lt;=$B$8)</f>
        <v>0.99995011893032648</v>
      </c>
      <c r="Q5">
        <f t="shared" si="1"/>
        <v>2.4919460412737818E-5</v>
      </c>
      <c r="R5">
        <f t="shared" ref="R5:R68" si="6">_xlfn.IFNA(IF(MOD(N5,3)=0,VLOOKUP(_xlfn.FLOOR.MATH((N5-1)/12),$A$18:$D$24,3,FALSE),0)*P4,0)*(N5&lt;=$B$8)</f>
        <v>0</v>
      </c>
      <c r="S5">
        <f t="shared" si="2"/>
        <v>2.0763401158906254E-8</v>
      </c>
      <c r="T5">
        <f t="shared" si="3"/>
        <v>0</v>
      </c>
      <c r="U5">
        <f t="shared" ref="U5:U63" si="7">Q5*$B$10</f>
        <v>2.4919460412737818E-3</v>
      </c>
      <c r="V5">
        <f t="shared" ref="V5:V63" si="8">$B$14*S5</f>
        <v>2.0763401158906254E-6</v>
      </c>
      <c r="W5">
        <f t="shared" si="0"/>
        <v>-14.959072919737658</v>
      </c>
      <c r="Y5">
        <v>136.23509208617901</v>
      </c>
      <c r="Z5">
        <v>0.37860302513264876</v>
      </c>
      <c r="AA5">
        <v>0</v>
      </c>
      <c r="AB5">
        <v>3.4176823546739833E-3</v>
      </c>
      <c r="AC5">
        <v>0</v>
      </c>
      <c r="AD5">
        <v>40.506184189186364</v>
      </c>
      <c r="AE5">
        <v>0.3417682354673986</v>
      </c>
      <c r="AF5">
        <v>-529.71975112475877</v>
      </c>
    </row>
    <row r="6" spans="1:32">
      <c r="A6" t="s">
        <v>2</v>
      </c>
      <c r="B6" s="1" t="str">
        <f>Data!D$1</f>
        <v>N</v>
      </c>
      <c r="N6">
        <v>3</v>
      </c>
      <c r="O6">
        <f t="shared" si="4"/>
        <v>30</v>
      </c>
      <c r="P6" s="8">
        <f t="shared" si="5"/>
        <v>0.97393022247477545</v>
      </c>
      <c r="Q6">
        <f t="shared" si="1"/>
        <v>2.4918838900316758E-5</v>
      </c>
      <c r="R6">
        <f t="shared" si="6"/>
        <v>2.5994956853767445E-2</v>
      </c>
      <c r="S6">
        <f t="shared" si="2"/>
        <v>2.0762883302118429E-8</v>
      </c>
      <c r="T6">
        <f t="shared" si="3"/>
        <v>0</v>
      </c>
      <c r="U6">
        <f t="shared" si="7"/>
        <v>2.4918838900316758E-3</v>
      </c>
      <c r="V6">
        <f t="shared" si="8"/>
        <v>2.0762883302118431E-6</v>
      </c>
      <c r="W6">
        <f t="shared" si="0"/>
        <v>-15.025382797867039</v>
      </c>
      <c r="Y6">
        <v>132.32234880710524</v>
      </c>
      <c r="Z6">
        <v>0.37114127942846037</v>
      </c>
      <c r="AA6">
        <v>3.5416019996453607</v>
      </c>
      <c r="AB6">
        <v>3.3542575547280485E-3</v>
      </c>
      <c r="AC6">
        <v>0</v>
      </c>
      <c r="AD6">
        <v>39.734530096577203</v>
      </c>
      <c r="AE6">
        <v>0.33542575547280495</v>
      </c>
      <c r="AF6">
        <v>-573.00135681614859</v>
      </c>
    </row>
    <row r="7" spans="1:32">
      <c r="A7" t="s">
        <v>3</v>
      </c>
      <c r="B7" s="1">
        <f>Data!E$1</f>
        <v>0</v>
      </c>
      <c r="N7">
        <f>N6+1</f>
        <v>4</v>
      </c>
      <c r="O7">
        <f t="shared" si="4"/>
        <v>30</v>
      </c>
      <c r="P7" s="8">
        <f t="shared" si="5"/>
        <v>0.97390593183121865</v>
      </c>
      <c r="Q7">
        <f t="shared" si="1"/>
        <v>2.4270420948556929E-5</v>
      </c>
      <c r="R7">
        <f t="shared" si="6"/>
        <v>0</v>
      </c>
      <c r="S7">
        <f t="shared" si="2"/>
        <v>2.0222608278982546E-8</v>
      </c>
      <c r="T7">
        <f t="shared" si="3"/>
        <v>0</v>
      </c>
      <c r="U7">
        <f t="shared" si="7"/>
        <v>2.4270420948556931E-3</v>
      </c>
      <c r="V7">
        <f t="shared" si="8"/>
        <v>2.0222608278982547E-6</v>
      </c>
      <c r="W7">
        <f t="shared" si="0"/>
        <v>-15.091975446311148</v>
      </c>
      <c r="Y7">
        <v>131.96808636577322</v>
      </c>
      <c r="Z7">
        <v>0.35426244133199269</v>
      </c>
      <c r="AA7">
        <v>0</v>
      </c>
      <c r="AB7">
        <v>3.2055363929158441E-3</v>
      </c>
      <c r="AC7">
        <v>0</v>
      </c>
      <c r="AD7">
        <v>37.953361343863243</v>
      </c>
      <c r="AE7">
        <v>0.32055363929158431</v>
      </c>
      <c r="AF7">
        <v>-615.68625738647665</v>
      </c>
    </row>
    <row r="8" spans="1:32">
      <c r="A8" t="s">
        <v>9</v>
      </c>
      <c r="B8" s="1">
        <v>60</v>
      </c>
      <c r="N8">
        <f t="shared" ref="N8:N71" si="9">N7+1</f>
        <v>5</v>
      </c>
      <c r="O8">
        <f t="shared" si="4"/>
        <v>30</v>
      </c>
      <c r="P8" s="8">
        <f t="shared" si="5"/>
        <v>0.97388164179349102</v>
      </c>
      <c r="Q8">
        <f t="shared" si="1"/>
        <v>2.4269815623729103E-5</v>
      </c>
      <c r="R8">
        <f t="shared" si="6"/>
        <v>0</v>
      </c>
      <c r="S8">
        <f t="shared" si="2"/>
        <v>2.022210391002658E-8</v>
      </c>
      <c r="T8">
        <f t="shared" si="3"/>
        <v>0</v>
      </c>
      <c r="U8">
        <f t="shared" si="7"/>
        <v>2.4269815623729103E-3</v>
      </c>
      <c r="V8">
        <f t="shared" si="8"/>
        <v>2.022210391002658E-6</v>
      </c>
      <c r="W8">
        <f t="shared" si="0"/>
        <v>-15.158786961019862</v>
      </c>
      <c r="Y8">
        <v>131.62064388719057</v>
      </c>
      <c r="Z8">
        <v>0.34744247858267863</v>
      </c>
      <c r="AA8">
        <v>0</v>
      </c>
      <c r="AB8">
        <v>3.1474453332052438E-3</v>
      </c>
      <c r="AC8">
        <v>0</v>
      </c>
      <c r="AD8">
        <v>37.24716588057472</v>
      </c>
      <c r="AE8">
        <v>0.31474453332052427</v>
      </c>
      <c r="AF8">
        <v>-656.74952111808284</v>
      </c>
    </row>
    <row r="9" spans="1:32">
      <c r="A9" t="s">
        <v>13</v>
      </c>
      <c r="B9" s="1">
        <f>Data!G$1</f>
        <v>5</v>
      </c>
      <c r="N9">
        <f t="shared" si="9"/>
        <v>6</v>
      </c>
      <c r="O9">
        <f t="shared" si="4"/>
        <v>30</v>
      </c>
      <c r="P9" s="8">
        <f t="shared" si="5"/>
        <v>0.94854007824976561</v>
      </c>
      <c r="Q9">
        <f t="shared" si="1"/>
        <v>2.4269210313998588E-5</v>
      </c>
      <c r="R9">
        <f t="shared" si="6"/>
        <v>2.5317274111811915E-2</v>
      </c>
      <c r="S9">
        <f t="shared" si="2"/>
        <v>2.0221599553650002E-8</v>
      </c>
      <c r="T9">
        <f t="shared" si="3"/>
        <v>0</v>
      </c>
      <c r="U9">
        <f t="shared" si="7"/>
        <v>2.4269210313998587E-3</v>
      </c>
      <c r="V9">
        <f t="shared" si="8"/>
        <v>2.022159955365E-6</v>
      </c>
      <c r="W9">
        <f t="shared" si="0"/>
        <v>-15.225883387310359</v>
      </c>
      <c r="Y9">
        <v>127.85816911794105</v>
      </c>
      <c r="Z9">
        <v>0.34083113509236357</v>
      </c>
      <c r="AA9">
        <v>3.4216436341571232</v>
      </c>
      <c r="AB9">
        <v>3.0910728395927762E-3</v>
      </c>
      <c r="AC9">
        <v>0</v>
      </c>
      <c r="AD9">
        <v>36.562130980121957</v>
      </c>
      <c r="AE9">
        <v>0.30910728395927783</v>
      </c>
      <c r="AF9">
        <v>-697.27289127280881</v>
      </c>
    </row>
    <row r="10" spans="1:32">
      <c r="A10" t="s">
        <v>19</v>
      </c>
      <c r="B10" s="1">
        <f>Data!H$1</f>
        <v>100</v>
      </c>
      <c r="N10">
        <f t="shared" si="9"/>
        <v>7</v>
      </c>
      <c r="O10">
        <f t="shared" si="4"/>
        <v>30</v>
      </c>
      <c r="P10" s="8">
        <f t="shared" si="5"/>
        <v>0.94851642085788224</v>
      </c>
      <c r="Q10">
        <f t="shared" si="1"/>
        <v>2.3637696473984501E-5</v>
      </c>
      <c r="R10">
        <f t="shared" si="6"/>
        <v>0</v>
      </c>
      <c r="S10">
        <f t="shared" si="2"/>
        <v>1.9695409380169705E-8</v>
      </c>
      <c r="T10">
        <f t="shared" si="3"/>
        <v>0</v>
      </c>
      <c r="U10">
        <f t="shared" si="7"/>
        <v>2.3637696473984499E-3</v>
      </c>
      <c r="V10">
        <f t="shared" si="8"/>
        <v>1.9695409380169703E-6</v>
      </c>
      <c r="W10">
        <f t="shared" si="0"/>
        <v>-15.293265940422936</v>
      </c>
      <c r="Y10">
        <v>127.53260871261145</v>
      </c>
      <c r="Z10">
        <v>0.32556040532954578</v>
      </c>
      <c r="AA10">
        <v>0</v>
      </c>
      <c r="AB10">
        <v>2.956000578196556E-3</v>
      </c>
      <c r="AC10">
        <v>0</v>
      </c>
      <c r="AD10">
        <v>34.947006874933642</v>
      </c>
      <c r="AE10">
        <v>0.29560005781965559</v>
      </c>
      <c r="AF10">
        <v>-737.27548844134174</v>
      </c>
    </row>
    <row r="11" spans="1:32">
      <c r="A11" t="s">
        <v>20</v>
      </c>
      <c r="B11" s="1">
        <f>Data!I$1</f>
        <v>0.05</v>
      </c>
      <c r="C11">
        <f>1-(1-B11)^(1/12)</f>
        <v>4.2653187775606449E-3</v>
      </c>
      <c r="N11">
        <f t="shared" si="9"/>
        <v>8</v>
      </c>
      <c r="O11">
        <f t="shared" si="4"/>
        <v>30</v>
      </c>
      <c r="P11" s="8">
        <f t="shared" si="5"/>
        <v>0.94849276405603422</v>
      </c>
      <c r="Q11">
        <f t="shared" si="1"/>
        <v>2.3637106929840265E-5</v>
      </c>
      <c r="R11">
        <f t="shared" si="6"/>
        <v>0</v>
      </c>
      <c r="S11">
        <f t="shared" si="2"/>
        <v>1.9694918160000211E-8</v>
      </c>
      <c r="T11">
        <f t="shared" si="3"/>
        <v>0</v>
      </c>
      <c r="U11">
        <f t="shared" si="7"/>
        <v>2.3637106929840263E-3</v>
      </c>
      <c r="V11">
        <f t="shared" si="8"/>
        <v>1.9694918160000211E-6</v>
      </c>
      <c r="W11">
        <f t="shared" si="0"/>
        <v>-15.360872428031319</v>
      </c>
      <c r="Y11">
        <v>127.21309847552256</v>
      </c>
      <c r="Z11">
        <v>0.31951023708897008</v>
      </c>
      <c r="AA11">
        <v>0</v>
      </c>
      <c r="AB11">
        <v>2.9043040343031176E-3</v>
      </c>
      <c r="AC11">
        <v>0</v>
      </c>
      <c r="AD11">
        <v>34.319288355280058</v>
      </c>
      <c r="AE11">
        <v>0.29043040343031185</v>
      </c>
      <c r="AF11">
        <v>-775.81313148413835</v>
      </c>
    </row>
    <row r="12" spans="1:32">
      <c r="A12" t="s">
        <v>22</v>
      </c>
      <c r="B12" s="1">
        <f>Data!J$1</f>
        <v>1.0042653189999999</v>
      </c>
      <c r="N12">
        <f t="shared" si="9"/>
        <v>9</v>
      </c>
      <c r="O12">
        <f t="shared" si="4"/>
        <v>30</v>
      </c>
      <c r="P12" s="8">
        <f t="shared" si="5"/>
        <v>0.92381184943603489</v>
      </c>
      <c r="Q12">
        <f t="shared" si="1"/>
        <v>2.3636517400399758E-5</v>
      </c>
      <c r="R12">
        <f t="shared" si="6"/>
        <v>2.4657258408171848E-2</v>
      </c>
      <c r="S12">
        <f t="shared" si="2"/>
        <v>1.9694426952082163E-8</v>
      </c>
      <c r="T12">
        <f t="shared" si="3"/>
        <v>0</v>
      </c>
      <c r="U12">
        <f t="shared" si="7"/>
        <v>2.3636517400399759E-3</v>
      </c>
      <c r="V12">
        <f t="shared" si="8"/>
        <v>1.9694426952082165E-6</v>
      </c>
      <c r="W12">
        <f t="shared" si="0"/>
        <v>-15.428767219620617</v>
      </c>
      <c r="Y12">
        <v>123.59239295821786</v>
      </c>
      <c r="Z12">
        <v>0.31364155131135446</v>
      </c>
      <c r="AA12">
        <v>3.3070639659933776</v>
      </c>
      <c r="AB12">
        <v>2.8541057832460822E-3</v>
      </c>
      <c r="AC12">
        <v>0</v>
      </c>
      <c r="AD12">
        <v>33.709997195389789</v>
      </c>
      <c r="AE12">
        <v>0.2854105783246082</v>
      </c>
      <c r="AF12">
        <v>-813.87956222402363</v>
      </c>
    </row>
    <row r="13" spans="1:32">
      <c r="A13" t="s">
        <v>37</v>
      </c>
      <c r="B13" s="1">
        <f>Data!K$1</f>
        <v>4</v>
      </c>
      <c r="N13">
        <f t="shared" si="9"/>
        <v>10</v>
      </c>
      <c r="O13">
        <f t="shared" si="4"/>
        <v>30</v>
      </c>
      <c r="P13" s="8">
        <f t="shared" si="5"/>
        <v>0.92378880878709468</v>
      </c>
      <c r="Q13">
        <f t="shared" si="1"/>
        <v>2.3021466985698936E-5</v>
      </c>
      <c r="R13">
        <f t="shared" si="6"/>
        <v>0</v>
      </c>
      <c r="S13">
        <f t="shared" si="2"/>
        <v>1.9181954439360458E-8</v>
      </c>
      <c r="T13">
        <f t="shared" si="3"/>
        <v>0</v>
      </c>
      <c r="U13">
        <f t="shared" si="7"/>
        <v>2.3021466985698935E-3</v>
      </c>
      <c r="V13">
        <f t="shared" si="8"/>
        <v>1.9181954439360457E-6</v>
      </c>
      <c r="W13">
        <f t="shared" si="0"/>
        <v>-15.496951544900753</v>
      </c>
      <c r="Y13">
        <v>123.2925987160353</v>
      </c>
      <c r="Z13">
        <v>0.29979424218248851</v>
      </c>
      <c r="AA13">
        <v>0</v>
      </c>
      <c r="AB13">
        <v>2.7311563339292104E-3</v>
      </c>
      <c r="AC13">
        <v>0</v>
      </c>
      <c r="AD13">
        <v>32.242135935469314</v>
      </c>
      <c r="AE13">
        <v>0.27311563339292105</v>
      </c>
      <c r="AF13">
        <v>-851.49142721689327</v>
      </c>
    </row>
    <row r="14" spans="1:32">
      <c r="A14" t="s">
        <v>41</v>
      </c>
      <c r="B14">
        <v>100</v>
      </c>
      <c r="N14">
        <f t="shared" si="9"/>
        <v>11</v>
      </c>
      <c r="O14">
        <f t="shared" si="4"/>
        <v>30</v>
      </c>
      <c r="P14" s="8">
        <f t="shared" si="5"/>
        <v>0.9237657687128078</v>
      </c>
      <c r="Q14">
        <f t="shared" si="1"/>
        <v>2.3020892810839378E-5</v>
      </c>
      <c r="R14">
        <f t="shared" si="6"/>
        <v>0</v>
      </c>
      <c r="S14">
        <f t="shared" si="2"/>
        <v>1.9181476025191495E-8</v>
      </c>
      <c r="T14">
        <f t="shared" si="3"/>
        <v>0</v>
      </c>
      <c r="U14">
        <f t="shared" si="7"/>
        <v>2.302089281083938E-3</v>
      </c>
      <c r="V14">
        <f t="shared" si="8"/>
        <v>1.9181476025191494E-6</v>
      </c>
      <c r="W14">
        <f t="shared" si="0"/>
        <v>-15.56536487923308</v>
      </c>
      <c r="Y14">
        <v>122.99818171459806</v>
      </c>
      <c r="Z14">
        <v>0.29441700143718769</v>
      </c>
      <c r="AA14">
        <v>0</v>
      </c>
      <c r="AB14">
        <v>2.6850638854148947E-3</v>
      </c>
      <c r="AC14">
        <v>0</v>
      </c>
      <c r="AD14">
        <v>31.683111985594561</v>
      </c>
      <c r="AE14">
        <v>0.26850638854148967</v>
      </c>
      <c r="AF14">
        <v>-887.77724926890778</v>
      </c>
    </row>
    <row r="15" spans="1:32">
      <c r="N15">
        <f t="shared" si="9"/>
        <v>12</v>
      </c>
      <c r="O15">
        <f t="shared" si="4"/>
        <v>30</v>
      </c>
      <c r="P15" s="8">
        <f t="shared" si="5"/>
        <v>0.89972828004607108</v>
      </c>
      <c r="Q15">
        <f t="shared" si="1"/>
        <v>2.3020318650300231E-5</v>
      </c>
      <c r="R15">
        <f t="shared" si="6"/>
        <v>2.4014449167088829E-2</v>
      </c>
      <c r="S15">
        <f t="shared" si="2"/>
        <v>1.918099762295459E-8</v>
      </c>
      <c r="T15">
        <f t="shared" si="3"/>
        <v>4.4986414002303556</v>
      </c>
      <c r="U15">
        <f t="shared" si="7"/>
        <v>2.3020318650300233E-3</v>
      </c>
      <c r="V15">
        <f t="shared" si="8"/>
        <v>1.9180997622954592E-6</v>
      </c>
      <c r="W15">
        <f t="shared" si="0"/>
        <v>-15.634069960549752</v>
      </c>
      <c r="Y15">
        <v>119.51149195238465</v>
      </c>
      <c r="Z15">
        <v>0.28919784113346142</v>
      </c>
      <c r="AA15" s="2">
        <v>3.1974919210801218</v>
      </c>
      <c r="AB15">
        <v>2.6402794489657766E-3</v>
      </c>
      <c r="AC15">
        <v>627.46710870896106</v>
      </c>
      <c r="AD15">
        <v>31.140156974336932</v>
      </c>
      <c r="AE15">
        <v>0.2640279448965776</v>
      </c>
      <c r="AF15">
        <v>-923.65180465705032</v>
      </c>
    </row>
    <row r="16" spans="1:32">
      <c r="A16" t="s">
        <v>31</v>
      </c>
      <c r="N16">
        <f t="shared" si="9"/>
        <v>13</v>
      </c>
      <c r="O16">
        <f t="shared" si="4"/>
        <v>31</v>
      </c>
      <c r="P16" s="8">
        <f t="shared" si="5"/>
        <v>0.89970418871644309</v>
      </c>
      <c r="Q16">
        <f t="shared" si="1"/>
        <v>2.4071273182586135E-5</v>
      </c>
      <c r="R16">
        <f t="shared" si="6"/>
        <v>0</v>
      </c>
      <c r="S16">
        <f t="shared" si="2"/>
        <v>2.0056445367957105E-8</v>
      </c>
      <c r="T16">
        <f t="shared" si="3"/>
        <v>0</v>
      </c>
      <c r="U16">
        <f t="shared" si="7"/>
        <v>2.4071273182586133E-3</v>
      </c>
      <c r="V16">
        <f t="shared" si="8"/>
        <v>2.0056445367957105E-6</v>
      </c>
      <c r="W16">
        <f t="shared" si="0"/>
        <v>-11.18523849237722</v>
      </c>
      <c r="Y16">
        <v>118.72711344860819</v>
      </c>
      <c r="Z16">
        <v>0.78437850377636498</v>
      </c>
      <c r="AA16">
        <v>0</v>
      </c>
      <c r="AB16">
        <v>3.0462709371571655E-3</v>
      </c>
      <c r="AC16">
        <v>0</v>
      </c>
      <c r="AD16">
        <v>80.834678925820839</v>
      </c>
      <c r="AE16">
        <v>0.30462709371571622</v>
      </c>
      <c r="AF16">
        <v>-328.98615194507471</v>
      </c>
    </row>
    <row r="17" spans="1:32">
      <c r="A17" t="s">
        <v>32</v>
      </c>
      <c r="B17" t="s">
        <v>35</v>
      </c>
      <c r="C17" t="s">
        <v>36</v>
      </c>
      <c r="D17" t="s">
        <v>34</v>
      </c>
      <c r="N17">
        <f t="shared" si="9"/>
        <v>14</v>
      </c>
      <c r="O17">
        <f t="shared" si="4"/>
        <v>31</v>
      </c>
      <c r="P17" s="8">
        <f t="shared" si="5"/>
        <v>0.89968009803188997</v>
      </c>
      <c r="Q17">
        <f t="shared" si="1"/>
        <v>2.4070628644685453E-5</v>
      </c>
      <c r="R17">
        <f t="shared" si="6"/>
        <v>0</v>
      </c>
      <c r="S17">
        <f t="shared" si="2"/>
        <v>2.0055908332001649E-8</v>
      </c>
      <c r="T17">
        <f t="shared" si="3"/>
        <v>0</v>
      </c>
      <c r="U17">
        <f t="shared" si="7"/>
        <v>2.4070628644685451E-3</v>
      </c>
      <c r="V17">
        <f t="shared" si="8"/>
        <v>2.0055908332001649E-6</v>
      </c>
      <c r="W17">
        <f t="shared" si="0"/>
        <v>-11.235366511321681</v>
      </c>
      <c r="Y17">
        <v>118.44496411728126</v>
      </c>
      <c r="Z17">
        <v>0.28214933132694098</v>
      </c>
      <c r="AA17">
        <v>0</v>
      </c>
      <c r="AB17">
        <v>2.5882221994278092E-3</v>
      </c>
      <c r="AC17">
        <v>0</v>
      </c>
      <c r="AD17">
        <v>30.586828991015146</v>
      </c>
      <c r="AE17">
        <v>0.25882221994278087</v>
      </c>
      <c r="AF17">
        <v>-411.87477387285151</v>
      </c>
    </row>
    <row r="18" spans="1:32">
      <c r="A18">
        <v>0</v>
      </c>
      <c r="B18" s="3">
        <v>0.1</v>
      </c>
      <c r="C18">
        <f>1-(1-B18)^(1/4)</f>
        <v>2.5996253574703254E-2</v>
      </c>
      <c r="D18">
        <f>1-(1-B18)^(1/12)</f>
        <v>8.7416109546967213E-3</v>
      </c>
      <c r="N18">
        <f t="shared" si="9"/>
        <v>15</v>
      </c>
      <c r="O18">
        <f t="shared" si="4"/>
        <v>31</v>
      </c>
      <c r="P18" s="8">
        <f t="shared" si="5"/>
        <v>0.88819277442024758</v>
      </c>
      <c r="Q18">
        <f t="shared" si="1"/>
        <v>2.406998412404306E-5</v>
      </c>
      <c r="R18">
        <f t="shared" si="6"/>
        <v>1.1463233572146934E-2</v>
      </c>
      <c r="S18">
        <f t="shared" si="2"/>
        <v>2.0055371310425987E-8</v>
      </c>
      <c r="T18">
        <f t="shared" si="3"/>
        <v>0</v>
      </c>
      <c r="U18">
        <f t="shared" si="7"/>
        <v>2.4069984124043061E-3</v>
      </c>
      <c r="V18">
        <f t="shared" si="8"/>
        <v>2.0055371310425988E-6</v>
      </c>
      <c r="W18">
        <f t="shared" si="0"/>
        <v>-11.285708277475141</v>
      </c>
      <c r="Y18">
        <v>116.65831490180015</v>
      </c>
      <c r="Z18">
        <v>0.27748802352941948</v>
      </c>
      <c r="AA18">
        <v>1.509161191951619</v>
      </c>
      <c r="AB18">
        <v>2.547697906778456E-3</v>
      </c>
      <c r="AC18">
        <v>0</v>
      </c>
      <c r="AD18">
        <v>30.096103784548827</v>
      </c>
      <c r="AE18">
        <v>0.25476979067784566</v>
      </c>
      <c r="AF18">
        <v>-444.60876892460743</v>
      </c>
    </row>
    <row r="19" spans="1:32">
      <c r="A19">
        <v>1</v>
      </c>
      <c r="B19" s="3">
        <v>0.05</v>
      </c>
      <c r="C19">
        <f t="shared" ref="C19:C24" si="10">1-(1-B19)^(1/4)</f>
        <v>1.2741455098566168E-2</v>
      </c>
      <c r="D19">
        <f t="shared" ref="D19:D24" si="11">1-(1-B19)^(1/12)</f>
        <v>4.2653187775606449E-3</v>
      </c>
      <c r="N19">
        <f t="shared" si="9"/>
        <v>16</v>
      </c>
      <c r="O19">
        <f t="shared" si="4"/>
        <v>31</v>
      </c>
      <c r="P19" s="8">
        <f t="shared" si="5"/>
        <v>0.88816899196794918</v>
      </c>
      <c r="Q19">
        <f t="shared" si="1"/>
        <v>2.3762652998718805E-5</v>
      </c>
      <c r="R19">
        <f t="shared" si="6"/>
        <v>0</v>
      </c>
      <c r="S19">
        <f t="shared" si="2"/>
        <v>1.9799299690192876E-8</v>
      </c>
      <c r="T19">
        <f t="shared" si="3"/>
        <v>0</v>
      </c>
      <c r="U19">
        <f t="shared" si="7"/>
        <v>2.3762652998718806E-3</v>
      </c>
      <c r="V19">
        <f t="shared" si="8"/>
        <v>1.9799299690192874E-6</v>
      </c>
      <c r="W19">
        <f t="shared" si="0"/>
        <v>-11.336264702539365</v>
      </c>
      <c r="Y19">
        <v>116.38889990732433</v>
      </c>
      <c r="Z19">
        <v>0.26941499447587586</v>
      </c>
      <c r="AA19">
        <v>0</v>
      </c>
      <c r="AB19">
        <v>2.475757024530578E-3</v>
      </c>
      <c r="AC19">
        <v>0</v>
      </c>
      <c r="AD19">
        <v>29.234631624236172</v>
      </c>
      <c r="AE19">
        <v>0.24757570245305777</v>
      </c>
      <c r="AF19">
        <v>-476.98549688722187</v>
      </c>
    </row>
    <row r="20" spans="1:32">
      <c r="A20">
        <f>A19+1</f>
        <v>2</v>
      </c>
      <c r="B20" s="6">
        <v>0.03</v>
      </c>
      <c r="C20">
        <f t="shared" si="10"/>
        <v>7.5858827185042443E-3</v>
      </c>
      <c r="D20">
        <f t="shared" si="11"/>
        <v>2.5350486138366879E-3</v>
      </c>
      <c r="N20">
        <f t="shared" si="9"/>
        <v>17</v>
      </c>
      <c r="O20">
        <f t="shared" si="4"/>
        <v>31</v>
      </c>
      <c r="P20" s="8">
        <f t="shared" si="5"/>
        <v>0.88814521015245518</v>
      </c>
      <c r="Q20">
        <f t="shared" si="1"/>
        <v>2.3762016724502551E-5</v>
      </c>
      <c r="R20">
        <f t="shared" si="6"/>
        <v>0</v>
      </c>
      <c r="S20">
        <f t="shared" si="2"/>
        <v>1.9798769539628736E-8</v>
      </c>
      <c r="T20">
        <f t="shared" si="3"/>
        <v>0</v>
      </c>
      <c r="U20">
        <f t="shared" si="7"/>
        <v>2.3762016724502553E-3</v>
      </c>
      <c r="V20">
        <f t="shared" si="8"/>
        <v>1.9798769539628736E-6</v>
      </c>
      <c r="W20">
        <f t="shared" si="0"/>
        <v>-11.387005876968541</v>
      </c>
      <c r="Y20">
        <v>116.12384463115055</v>
      </c>
      <c r="Z20">
        <v>0.26505527617372987</v>
      </c>
      <c r="AA20">
        <v>0</v>
      </c>
      <c r="AB20">
        <v>2.4377922568567375E-3</v>
      </c>
      <c r="AC20">
        <v>0</v>
      </c>
      <c r="AD20">
        <v>28.775035930358609</v>
      </c>
      <c r="AE20">
        <v>0.24377922568567376</v>
      </c>
      <c r="AF20">
        <v>-508.62795053558091</v>
      </c>
    </row>
    <row r="21" spans="1:32">
      <c r="A21">
        <f t="shared" ref="A21:A24" si="12">A20+1</f>
        <v>3</v>
      </c>
      <c r="B21" s="6">
        <v>0.03</v>
      </c>
      <c r="C21">
        <f t="shared" si="10"/>
        <v>7.5858827185042443E-3</v>
      </c>
      <c r="D21">
        <f t="shared" si="11"/>
        <v>2.5350486138366879E-3</v>
      </c>
      <c r="N21">
        <f t="shared" si="9"/>
        <v>18</v>
      </c>
      <c r="O21">
        <f t="shared" si="4"/>
        <v>31</v>
      </c>
      <c r="P21" s="8">
        <f t="shared" si="5"/>
        <v>0.87680516665758435</v>
      </c>
      <c r="Q21">
        <f t="shared" si="1"/>
        <v>2.3761380467323321E-5</v>
      </c>
      <c r="R21">
        <f t="shared" si="6"/>
        <v>1.1316262316164121E-2</v>
      </c>
      <c r="S21">
        <f t="shared" si="2"/>
        <v>1.9798239403260028E-8</v>
      </c>
      <c r="T21">
        <f t="shared" si="3"/>
        <v>0</v>
      </c>
      <c r="U21">
        <f t="shared" si="7"/>
        <v>2.3761380467323323E-3</v>
      </c>
      <c r="V21">
        <f t="shared" si="8"/>
        <v>1.9798239403260028E-6</v>
      </c>
      <c r="W21">
        <f t="shared" si="0"/>
        <v>-11.43796341474104</v>
      </c>
      <c r="Y21">
        <v>114.38344779692608</v>
      </c>
      <c r="Z21">
        <v>0.26081008198385075</v>
      </c>
      <c r="AA21">
        <v>1.479586752240678</v>
      </c>
      <c r="AB21">
        <v>2.4007943778226785E-3</v>
      </c>
      <c r="AC21">
        <v>0</v>
      </c>
      <c r="AD21">
        <v>28.327211801514501</v>
      </c>
      <c r="AE21">
        <v>0.24007943778226767</v>
      </c>
      <c r="AF21">
        <v>-539.94000065661839</v>
      </c>
    </row>
    <row r="22" spans="1:32">
      <c r="A22">
        <f t="shared" si="12"/>
        <v>4</v>
      </c>
      <c r="B22" s="6">
        <v>0.03</v>
      </c>
      <c r="C22">
        <f t="shared" si="10"/>
        <v>7.5858827185042443E-3</v>
      </c>
      <c r="D22">
        <f t="shared" si="11"/>
        <v>2.5350486138366879E-3</v>
      </c>
      <c r="N22">
        <f t="shared" si="9"/>
        <v>19</v>
      </c>
      <c r="O22">
        <f t="shared" si="4"/>
        <v>31</v>
      </c>
      <c r="P22" s="8">
        <f t="shared" si="5"/>
        <v>0.87678168912246857</v>
      </c>
      <c r="Q22">
        <f t="shared" si="1"/>
        <v>2.3457989664876314E-5</v>
      </c>
      <c r="R22">
        <f t="shared" si="6"/>
        <v>0</v>
      </c>
      <c r="S22">
        <f t="shared" si="2"/>
        <v>1.9545450902699071E-8</v>
      </c>
      <c r="T22">
        <f t="shared" si="3"/>
        <v>0</v>
      </c>
      <c r="U22">
        <f t="shared" si="7"/>
        <v>2.3457989664876313E-3</v>
      </c>
      <c r="V22">
        <f t="shared" si="8"/>
        <v>1.954545090269907E-6</v>
      </c>
      <c r="W22">
        <f t="shared" si="0"/>
        <v>-11.489138238717251</v>
      </c>
      <c r="Y22">
        <v>114.13009514598596</v>
      </c>
      <c r="Z22">
        <v>0.25335265094009296</v>
      </c>
      <c r="AA22">
        <v>0</v>
      </c>
      <c r="AB22">
        <v>2.3341433569800006E-3</v>
      </c>
      <c r="AC22">
        <v>0</v>
      </c>
      <c r="AD22">
        <v>27.529858482483398</v>
      </c>
      <c r="AE22">
        <v>0.23341433569800016</v>
      </c>
      <c r="AF22">
        <v>-570.93215684967686</v>
      </c>
    </row>
    <row r="23" spans="1:32">
      <c r="A23">
        <f t="shared" si="12"/>
        <v>5</v>
      </c>
      <c r="B23" s="6">
        <v>0.03</v>
      </c>
      <c r="C23">
        <f t="shared" si="10"/>
        <v>7.5858827185042443E-3</v>
      </c>
      <c r="D23">
        <f t="shared" si="11"/>
        <v>2.5350486138366879E-3</v>
      </c>
      <c r="N23">
        <f t="shared" si="9"/>
        <v>20</v>
      </c>
      <c r="O23">
        <f t="shared" si="4"/>
        <v>31</v>
      </c>
      <c r="P23" s="8">
        <f t="shared" si="5"/>
        <v>0.87675821221599259</v>
      </c>
      <c r="Q23">
        <f t="shared" si="1"/>
        <v>2.3457361548394971E-5</v>
      </c>
      <c r="R23">
        <f t="shared" si="6"/>
        <v>0</v>
      </c>
      <c r="S23">
        <f t="shared" si="2"/>
        <v>1.954492754924796E-8</v>
      </c>
      <c r="T23">
        <f t="shared" si="3"/>
        <v>0</v>
      </c>
      <c r="U23">
        <f t="shared" si="7"/>
        <v>2.3457361548394973E-3</v>
      </c>
      <c r="V23">
        <f t="shared" si="8"/>
        <v>1.9544927549247959E-6</v>
      </c>
      <c r="W23">
        <f t="shared" si="0"/>
        <v>-11.540500845769717</v>
      </c>
      <c r="Y23">
        <v>113.88071681891449</v>
      </c>
      <c r="Z23">
        <v>0.24937832707156943</v>
      </c>
      <c r="AA23">
        <v>0</v>
      </c>
      <c r="AB23">
        <v>2.29944853267158E-3</v>
      </c>
      <c r="AC23">
        <v>0</v>
      </c>
      <c r="AD23">
        <v>27.110038430038855</v>
      </c>
      <c r="AE23">
        <v>0.22994485326715794</v>
      </c>
      <c r="AF23">
        <v>-601.2490566592337</v>
      </c>
    </row>
    <row r="24" spans="1:32">
      <c r="A24">
        <f t="shared" si="12"/>
        <v>6</v>
      </c>
      <c r="B24" s="6">
        <v>0.03</v>
      </c>
      <c r="C24">
        <f t="shared" si="10"/>
        <v>7.5858827185042443E-3</v>
      </c>
      <c r="D24">
        <f t="shared" si="11"/>
        <v>2.5350486138366879E-3</v>
      </c>
      <c r="N24">
        <f t="shared" si="9"/>
        <v>21</v>
      </c>
      <c r="O24">
        <f t="shared" si="4"/>
        <v>31</v>
      </c>
      <c r="P24" s="8">
        <f t="shared" si="5"/>
        <v>0.86556356054489048</v>
      </c>
      <c r="Q24">
        <f t="shared" si="1"/>
        <v>2.345673344873222E-5</v>
      </c>
      <c r="R24">
        <f t="shared" si="6"/>
        <v>1.1171175393249216E-2</v>
      </c>
      <c r="S24">
        <f t="shared" si="2"/>
        <v>1.9544404209810282E-8</v>
      </c>
      <c r="T24">
        <f t="shared" si="3"/>
        <v>0</v>
      </c>
      <c r="U24">
        <f t="shared" si="7"/>
        <v>2.3456733448732219E-3</v>
      </c>
      <c r="V24">
        <f t="shared" si="8"/>
        <v>1.954440420981028E-6</v>
      </c>
      <c r="W24">
        <f t="shared" si="0"/>
        <v>-11.592082467593814</v>
      </c>
      <c r="Y24">
        <v>112.18420422363522</v>
      </c>
      <c r="Z24">
        <v>0.24550655533843654</v>
      </c>
      <c r="AA24">
        <v>1.4510060399407276</v>
      </c>
      <c r="AB24">
        <v>2.265620909017837E-3</v>
      </c>
      <c r="AC24">
        <v>0</v>
      </c>
      <c r="AD24">
        <v>26.700774754826917</v>
      </c>
      <c r="AE24">
        <v>0.22656209090178389</v>
      </c>
      <c r="AF24">
        <v>-631.27017271779869</v>
      </c>
    </row>
    <row r="25" spans="1:32">
      <c r="N25">
        <f t="shared" si="9"/>
        <v>22</v>
      </c>
      <c r="O25">
        <f t="shared" si="4"/>
        <v>31</v>
      </c>
      <c r="P25" s="8">
        <f t="shared" si="5"/>
        <v>0.86554038401758382</v>
      </c>
      <c r="Q25">
        <f t="shared" si="1"/>
        <v>2.3157232449891555E-5</v>
      </c>
      <c r="R25">
        <f t="shared" si="6"/>
        <v>0</v>
      </c>
      <c r="S25">
        <f t="shared" si="2"/>
        <v>1.9294856735718136E-8</v>
      </c>
      <c r="T25">
        <f t="shared" si="3"/>
        <v>0</v>
      </c>
      <c r="U25">
        <f t="shared" si="7"/>
        <v>2.3157232449891557E-3</v>
      </c>
      <c r="V25">
        <f t="shared" si="8"/>
        <v>1.9294856735718137E-6</v>
      </c>
      <c r="W25">
        <f t="shared" si="0"/>
        <v>-11.643884038359099</v>
      </c>
      <c r="Y25">
        <v>111.94559824672783</v>
      </c>
      <c r="Z25">
        <v>0.23860597690737415</v>
      </c>
      <c r="AA25">
        <v>0</v>
      </c>
      <c r="AB25">
        <v>2.203766168530475E-3</v>
      </c>
      <c r="AC25">
        <v>0</v>
      </c>
      <c r="AD25">
        <v>25.961531450852206</v>
      </c>
      <c r="AE25">
        <v>0.2203766168530476</v>
      </c>
      <c r="AF25">
        <v>-661.00493190682107</v>
      </c>
    </row>
    <row r="26" spans="1:32">
      <c r="N26">
        <f t="shared" si="9"/>
        <v>23</v>
      </c>
      <c r="O26">
        <f t="shared" si="4"/>
        <v>31</v>
      </c>
      <c r="P26" s="8">
        <f t="shared" si="5"/>
        <v>0.86551720811085719</v>
      </c>
      <c r="Q26">
        <f t="shared" si="1"/>
        <v>2.3156612386553996E-5</v>
      </c>
      <c r="R26">
        <f t="shared" si="6"/>
        <v>0</v>
      </c>
      <c r="S26">
        <f t="shared" si="2"/>
        <v>1.9294340092233593E-8</v>
      </c>
      <c r="T26">
        <f t="shared" si="3"/>
        <v>0</v>
      </c>
      <c r="U26">
        <f t="shared" si="7"/>
        <v>2.3156612386553998E-3</v>
      </c>
      <c r="V26">
        <f t="shared" si="8"/>
        <v>1.9294340092233593E-6</v>
      </c>
      <c r="W26">
        <f t="shared" si="0"/>
        <v>-11.695876456440597</v>
      </c>
      <c r="Y26">
        <v>111.71062050199745</v>
      </c>
      <c r="Z26">
        <v>0.23497774473034388</v>
      </c>
      <c r="AA26">
        <v>0</v>
      </c>
      <c r="AB26">
        <v>2.1720131528671417E-3</v>
      </c>
      <c r="AC26">
        <v>0</v>
      </c>
      <c r="AD26">
        <v>25.577488337864597</v>
      </c>
      <c r="AE26">
        <v>0.21720131528671413</v>
      </c>
      <c r="AF26">
        <v>-690.11791105961993</v>
      </c>
    </row>
    <row r="27" spans="1:32">
      <c r="N27">
        <f t="shared" si="9"/>
        <v>24</v>
      </c>
      <c r="O27">
        <f t="shared" si="4"/>
        <v>31</v>
      </c>
      <c r="P27" s="8">
        <f t="shared" si="5"/>
        <v>0.85446608418051306</v>
      </c>
      <c r="Q27">
        <f t="shared" si="1"/>
        <v>2.3155992339819394E-5</v>
      </c>
      <c r="R27">
        <f t="shared" si="6"/>
        <v>1.1027948644180836E-2</v>
      </c>
      <c r="S27">
        <f t="shared" si="2"/>
        <v>1.9293823462582815E-8</v>
      </c>
      <c r="T27">
        <f t="shared" si="3"/>
        <v>4.2723304209025654</v>
      </c>
      <c r="U27">
        <f t="shared" si="7"/>
        <v>2.3155992339819395E-3</v>
      </c>
      <c r="V27">
        <f t="shared" si="8"/>
        <v>1.9293823462582813E-6</v>
      </c>
      <c r="W27">
        <f t="shared" si="0"/>
        <v>-11.748090576448099</v>
      </c>
      <c r="Y27">
        <v>110.0558232174095</v>
      </c>
      <c r="Z27">
        <v>0.23144142942883242</v>
      </c>
      <c r="AA27">
        <v>1.4233558551591667</v>
      </c>
      <c r="AB27">
        <v>2.1410386900848765E-3</v>
      </c>
      <c r="AC27">
        <v>578.04493527043314</v>
      </c>
      <c r="AD27">
        <v>25.202921137634114</v>
      </c>
      <c r="AE27">
        <v>0.21410386900848777</v>
      </c>
      <c r="AF27">
        <v>-718.96619633093042</v>
      </c>
    </row>
    <row r="28" spans="1:32">
      <c r="N28">
        <f t="shared" si="9"/>
        <v>25</v>
      </c>
      <c r="O28">
        <f t="shared" si="4"/>
        <v>32</v>
      </c>
      <c r="P28" s="8">
        <f t="shared" si="5"/>
        <v>0.85444142263621625</v>
      </c>
      <c r="Q28">
        <f t="shared" si="1"/>
        <v>2.4641013325422675E-5</v>
      </c>
      <c r="R28">
        <f t="shared" si="6"/>
        <v>0</v>
      </c>
      <c r="S28">
        <f t="shared" si="2"/>
        <v>2.0530971363982099E-8</v>
      </c>
      <c r="T28">
        <f t="shared" si="3"/>
        <v>0</v>
      </c>
      <c r="U28">
        <f t="shared" si="7"/>
        <v>2.4641013325422674E-3</v>
      </c>
      <c r="V28">
        <f t="shared" si="8"/>
        <v>2.0530971363982097E-6</v>
      </c>
      <c r="W28">
        <f t="shared" si="0"/>
        <v>-7.5099740709915928</v>
      </c>
      <c r="Y28">
        <v>109.80045057391392</v>
      </c>
      <c r="Z28">
        <v>0.25537264349560834</v>
      </c>
      <c r="AA28">
        <v>0</v>
      </c>
      <c r="AB28">
        <v>2.3373424143069625E-3</v>
      </c>
      <c r="AC28">
        <v>0</v>
      </c>
      <c r="AD28">
        <v>27.789023740044492</v>
      </c>
      <c r="AE28">
        <v>0.23373424143069629</v>
      </c>
      <c r="AF28">
        <v>-167.0477719191295</v>
      </c>
    </row>
    <row r="29" spans="1:32">
      <c r="N29">
        <f t="shared" si="9"/>
        <v>26</v>
      </c>
      <c r="O29">
        <f t="shared" si="4"/>
        <v>32</v>
      </c>
      <c r="P29" s="8">
        <f t="shared" si="5"/>
        <v>0.8544167618036993</v>
      </c>
      <c r="Q29">
        <f t="shared" si="1"/>
        <v>2.4640302138105948E-5</v>
      </c>
      <c r="R29">
        <f t="shared" si="6"/>
        <v>0</v>
      </c>
      <c r="S29">
        <f t="shared" si="2"/>
        <v>2.0530378800427938E-8</v>
      </c>
      <c r="T29">
        <f t="shared" si="3"/>
        <v>0</v>
      </c>
      <c r="U29">
        <f t="shared" si="7"/>
        <v>2.464030213810595E-3</v>
      </c>
      <c r="V29">
        <f t="shared" si="8"/>
        <v>2.0530378800427936E-6</v>
      </c>
      <c r="W29">
        <f t="shared" si="0"/>
        <v>-7.5444831794511247</v>
      </c>
      <c r="Y29">
        <v>109.54943627874059</v>
      </c>
      <c r="Z29">
        <v>0.25101429517339097</v>
      </c>
      <c r="AA29">
        <v>0</v>
      </c>
      <c r="AB29">
        <v>2.2999352810023836E-3</v>
      </c>
      <c r="AC29">
        <v>0</v>
      </c>
      <c r="AD29">
        <v>27.328142235576067</v>
      </c>
      <c r="AE29">
        <v>0.22999352810023826</v>
      </c>
      <c r="AF29">
        <v>-195.90256793812986</v>
      </c>
    </row>
    <row r="30" spans="1:32">
      <c r="N30">
        <f t="shared" si="9"/>
        <v>27</v>
      </c>
      <c r="O30">
        <f t="shared" si="4"/>
        <v>32</v>
      </c>
      <c r="P30" s="8">
        <f t="shared" si="5"/>
        <v>0.84791059633517474</v>
      </c>
      <c r="Q30">
        <f t="shared" si="1"/>
        <v>2.4639590971315459E-5</v>
      </c>
      <c r="R30">
        <f t="shared" si="6"/>
        <v>6.4815053477670402E-3</v>
      </c>
      <c r="S30">
        <f t="shared" si="2"/>
        <v>2.0529786253976312E-8</v>
      </c>
      <c r="T30">
        <f t="shared" si="3"/>
        <v>0</v>
      </c>
      <c r="U30">
        <f t="shared" si="7"/>
        <v>2.4639590971315458E-3</v>
      </c>
      <c r="V30">
        <f t="shared" si="8"/>
        <v>2.0529786253976311E-6</v>
      </c>
      <c r="W30">
        <f t="shared" si="0"/>
        <v>-7.5791394087850579</v>
      </c>
      <c r="Y30">
        <v>108.47162375802293</v>
      </c>
      <c r="Z30">
        <v>0.24678334522882842</v>
      </c>
      <c r="AA30">
        <v>0.83102917548877953</v>
      </c>
      <c r="AB30">
        <v>2.2635786548690436E-3</v>
      </c>
      <c r="AC30">
        <v>0</v>
      </c>
      <c r="AD30">
        <v>26.88037143434584</v>
      </c>
      <c r="AE30">
        <v>0.22635786548690431</v>
      </c>
      <c r="AF30">
        <v>-224.41383488705887</v>
      </c>
    </row>
    <row r="31" spans="1:32">
      <c r="A31" t="s">
        <v>16</v>
      </c>
      <c r="B31" t="s">
        <v>27</v>
      </c>
      <c r="C31" t="s">
        <v>28</v>
      </c>
      <c r="D31" t="s">
        <v>27</v>
      </c>
      <c r="E31" t="s">
        <v>28</v>
      </c>
      <c r="G31" t="s">
        <v>39</v>
      </c>
      <c r="H31" t="s">
        <v>27</v>
      </c>
      <c r="I31" t="s">
        <v>28</v>
      </c>
      <c r="J31" t="s">
        <v>27</v>
      </c>
      <c r="K31" t="s">
        <v>28</v>
      </c>
      <c r="N31">
        <f t="shared" si="9"/>
        <v>28</v>
      </c>
      <c r="O31">
        <f t="shared" si="4"/>
        <v>32</v>
      </c>
      <c r="P31" s="8">
        <f t="shared" si="5"/>
        <v>0.8478861239949399</v>
      </c>
      <c r="Q31">
        <f t="shared" si="1"/>
        <v>2.445196677771031E-5</v>
      </c>
      <c r="R31">
        <f t="shared" si="6"/>
        <v>0</v>
      </c>
      <c r="S31">
        <f t="shared" si="2"/>
        <v>2.0373457173868097E-8</v>
      </c>
      <c r="T31">
        <f t="shared" si="3"/>
        <v>0</v>
      </c>
      <c r="U31">
        <f t="shared" si="7"/>
        <v>2.4451966777710309E-3</v>
      </c>
      <c r="V31">
        <f t="shared" si="8"/>
        <v>2.0373457173868096E-6</v>
      </c>
      <c r="W31">
        <f t="shared" si="0"/>
        <v>-7.6139433865129158</v>
      </c>
      <c r="Y31">
        <v>108.23082070108985</v>
      </c>
      <c r="Z31">
        <v>0.24080305693306892</v>
      </c>
      <c r="AA31">
        <v>0</v>
      </c>
      <c r="AB31">
        <v>2.2110636098141294E-3</v>
      </c>
      <c r="AC31">
        <v>0</v>
      </c>
      <c r="AD31">
        <v>26.241327188285311</v>
      </c>
      <c r="AE31">
        <v>0.22110636098141315</v>
      </c>
      <c r="AF31">
        <v>-252.59337962820879</v>
      </c>
    </row>
    <row r="32" spans="1:32">
      <c r="A32" t="s">
        <v>15</v>
      </c>
      <c r="B32" t="s">
        <v>29</v>
      </c>
      <c r="C32" t="s">
        <v>29</v>
      </c>
      <c r="D32" t="s">
        <v>18</v>
      </c>
      <c r="E32" t="s">
        <v>18</v>
      </c>
      <c r="G32" t="s">
        <v>15</v>
      </c>
      <c r="H32" t="s">
        <v>29</v>
      </c>
      <c r="I32" t="s">
        <v>29</v>
      </c>
      <c r="J32" t="s">
        <v>18</v>
      </c>
      <c r="K32" t="s">
        <v>18</v>
      </c>
      <c r="N32">
        <f t="shared" si="9"/>
        <v>29</v>
      </c>
      <c r="O32">
        <f t="shared" si="4"/>
        <v>32</v>
      </c>
      <c r="P32" s="8">
        <f t="shared" si="5"/>
        <v>0.84786165236102407</v>
      </c>
      <c r="Q32">
        <f t="shared" si="1"/>
        <v>2.4451261046642693E-5</v>
      </c>
      <c r="R32">
        <f t="shared" si="6"/>
        <v>0</v>
      </c>
      <c r="S32">
        <f t="shared" si="2"/>
        <v>2.0372869156478208E-8</v>
      </c>
      <c r="T32">
        <f t="shared" si="3"/>
        <v>0</v>
      </c>
      <c r="U32">
        <f t="shared" si="7"/>
        <v>2.4451261046642692E-3</v>
      </c>
      <c r="V32">
        <f t="shared" si="8"/>
        <v>2.0372869156478206E-6</v>
      </c>
      <c r="W32">
        <f t="shared" si="0"/>
        <v>-7.6488769561616001</v>
      </c>
      <c r="Y32">
        <v>107.9939764456316</v>
      </c>
      <c r="Z32">
        <v>0.23684425545821619</v>
      </c>
      <c r="AA32">
        <v>0</v>
      </c>
      <c r="AB32">
        <v>2.1769645693621416E-3</v>
      </c>
      <c r="AC32">
        <v>0</v>
      </c>
      <c r="AD32">
        <v>25.821679247402354</v>
      </c>
      <c r="AE32">
        <v>0.2176964569362142</v>
      </c>
      <c r="AF32">
        <v>-280.24607523948157</v>
      </c>
    </row>
    <row r="33" spans="1:32">
      <c r="A33">
        <v>0</v>
      </c>
      <c r="B33">
        <v>1E-3</v>
      </c>
      <c r="C33">
        <v>1.1825799999999999E-3</v>
      </c>
      <c r="D33">
        <f>1-(1-B33)^(1/12)</f>
        <v>8.3371552197619714E-5</v>
      </c>
      <c r="E33">
        <f>1-(1-C33)^(1/12)</f>
        <v>9.860178848197787E-5</v>
      </c>
      <c r="G33">
        <v>0</v>
      </c>
      <c r="H33" s="5">
        <v>8.3333699999999999E-7</v>
      </c>
      <c r="I33" s="5">
        <v>9.8548900000000004E-7</v>
      </c>
      <c r="J33">
        <f>1-(1-H33)^(1/12)</f>
        <v>6.9444776484850479E-8</v>
      </c>
      <c r="K33">
        <f>1-(1-I33)^(1/12)</f>
        <v>8.2124120392990108E-8</v>
      </c>
      <c r="N33">
        <f t="shared" si="9"/>
        <v>30</v>
      </c>
      <c r="O33">
        <f t="shared" si="4"/>
        <v>32</v>
      </c>
      <c r="P33" s="8">
        <f t="shared" si="5"/>
        <v>0.84140540237707895</v>
      </c>
      <c r="Q33">
        <f t="shared" si="1"/>
        <v>2.4450555335943837E-5</v>
      </c>
      <c r="R33">
        <f t="shared" si="6"/>
        <v>6.4317790563279461E-3</v>
      </c>
      <c r="S33">
        <f t="shared" si="2"/>
        <v>2.0372281156059632E-8</v>
      </c>
      <c r="T33">
        <f t="shared" si="3"/>
        <v>0</v>
      </c>
      <c r="U33">
        <f t="shared" si="7"/>
        <v>2.4450555335943838E-3</v>
      </c>
      <c r="V33">
        <f t="shared" si="8"/>
        <v>2.0372281156059633E-6</v>
      </c>
      <c r="W33">
        <f t="shared" si="0"/>
        <v>-7.6839594576954688</v>
      </c>
      <c r="Y33">
        <v>106.94174829367591</v>
      </c>
      <c r="Z33">
        <v>0.23299851233428698</v>
      </c>
      <c r="AA33">
        <v>0.81922963962147188</v>
      </c>
      <c r="AB33">
        <v>2.1438000392592087E-3</v>
      </c>
      <c r="AC33">
        <v>0</v>
      </c>
      <c r="AD33">
        <v>25.413687357435862</v>
      </c>
      <c r="AE33">
        <v>0.21438000392592077</v>
      </c>
      <c r="AF33">
        <v>-307.59185609715445</v>
      </c>
    </row>
    <row r="34" spans="1:32">
      <c r="A34">
        <v>1</v>
      </c>
      <c r="B34">
        <v>3.3300000000000002E-4</v>
      </c>
      <c r="C34">
        <v>4.7081E-4</v>
      </c>
      <c r="D34">
        <f t="shared" ref="D34:E97" si="13">1-(1-B34)^(1/12)</f>
        <v>2.7754236245014496E-5</v>
      </c>
      <c r="E34">
        <f t="shared" si="13"/>
        <v>3.9242635473279996E-5</v>
      </c>
      <c r="G34">
        <v>1</v>
      </c>
      <c r="H34" s="5">
        <v>2.7749999999999999E-7</v>
      </c>
      <c r="I34" s="5">
        <v>3.9234300000000001E-7</v>
      </c>
      <c r="J34">
        <f t="shared" ref="J34:J97" si="14">1-(1-H34)^(1/12)</f>
        <v>2.3125002912571802E-8</v>
      </c>
      <c r="K34">
        <f t="shared" ref="K34:K97" si="15">1-(1-I34)^(1/12)</f>
        <v>3.2695255836046044E-8</v>
      </c>
      <c r="N34">
        <f t="shared" si="9"/>
        <v>31</v>
      </c>
      <c r="O34">
        <f t="shared" si="4"/>
        <v>32</v>
      </c>
      <c r="P34" s="8">
        <f t="shared" si="5"/>
        <v>0.84138111778932712</v>
      </c>
      <c r="Q34">
        <f t="shared" si="1"/>
        <v>2.4264370600432392E-5</v>
      </c>
      <c r="R34">
        <f t="shared" si="6"/>
        <v>0</v>
      </c>
      <c r="S34">
        <f t="shared" si="2"/>
        <v>2.0217151437053622E-8</v>
      </c>
      <c r="T34">
        <f t="shared" si="3"/>
        <v>0</v>
      </c>
      <c r="U34">
        <f t="shared" si="7"/>
        <v>2.4264370600432391E-3</v>
      </c>
      <c r="V34">
        <f t="shared" si="8"/>
        <v>2.0217151437053621E-6</v>
      </c>
      <c r="W34">
        <f t="shared" si="0"/>
        <v>-7.7191915263585686</v>
      </c>
      <c r="Y34">
        <v>106.71425405712013</v>
      </c>
      <c r="Z34">
        <v>0.22749423655575468</v>
      </c>
      <c r="AA34">
        <v>0</v>
      </c>
      <c r="AB34">
        <v>2.0952743224980108E-3</v>
      </c>
      <c r="AC34">
        <v>0</v>
      </c>
      <c r="AD34">
        <v>24.824151380688875</v>
      </c>
      <c r="AE34">
        <v>0.20952743224980114</v>
      </c>
      <c r="AF34">
        <v>-334.64121272922216</v>
      </c>
    </row>
    <row r="35" spans="1:32">
      <c r="A35">
        <v>2</v>
      </c>
      <c r="B35" s="5">
        <v>9.2999999999999997E-5</v>
      </c>
      <c r="C35">
        <v>3.6619000000000002E-4</v>
      </c>
      <c r="D35">
        <f t="shared" si="13"/>
        <v>7.7503303633763565E-6</v>
      </c>
      <c r="E35">
        <f t="shared" si="13"/>
        <v>3.0520956220358997E-5</v>
      </c>
      <c r="G35">
        <v>2</v>
      </c>
      <c r="H35" s="5">
        <v>7.7499999999999999E-8</v>
      </c>
      <c r="I35" s="5">
        <v>3.0515899999999999E-7</v>
      </c>
      <c r="J35">
        <f t="shared" si="14"/>
        <v>6.458333534631322E-9</v>
      </c>
      <c r="K35">
        <f t="shared" si="15"/>
        <v>2.5429920169628417E-8</v>
      </c>
      <c r="N35">
        <f t="shared" si="9"/>
        <v>32</v>
      </c>
      <c r="O35">
        <f t="shared" si="4"/>
        <v>32</v>
      </c>
      <c r="P35" s="8">
        <f t="shared" si="5"/>
        <v>0.8413568339024754</v>
      </c>
      <c r="Q35">
        <f t="shared" si="1"/>
        <v>2.4263670283753385E-5</v>
      </c>
      <c r="R35">
        <f t="shared" si="6"/>
        <v>0</v>
      </c>
      <c r="S35">
        <f t="shared" si="2"/>
        <v>2.0216567930949695E-8</v>
      </c>
      <c r="T35">
        <f t="shared" si="3"/>
        <v>0</v>
      </c>
      <c r="U35">
        <f t="shared" si="7"/>
        <v>2.4263670283753386E-3</v>
      </c>
      <c r="V35">
        <f t="shared" si="8"/>
        <v>2.0216567930949697E-6</v>
      </c>
      <c r="W35">
        <f t="shared" si="0"/>
        <v>-7.7545551575671254</v>
      </c>
      <c r="Y35">
        <v>106.49036321051368</v>
      </c>
      <c r="Z35">
        <v>0.22389084660652064</v>
      </c>
      <c r="AA35">
        <v>0</v>
      </c>
      <c r="AB35">
        <v>2.0641256290232853E-3</v>
      </c>
      <c r="AC35">
        <v>0</v>
      </c>
      <c r="AD35">
        <v>24.441253196555706</v>
      </c>
      <c r="AE35">
        <v>0.20641256290232857</v>
      </c>
      <c r="AF35">
        <v>-361.20901969087856</v>
      </c>
    </row>
    <row r="36" spans="1:32">
      <c r="A36">
        <v>3</v>
      </c>
      <c r="B36" s="5">
        <v>9.0000000000000006E-5</v>
      </c>
      <c r="C36">
        <v>2.7778999999999998E-4</v>
      </c>
      <c r="D36">
        <f t="shared" si="13"/>
        <v>7.5003093927827891E-6</v>
      </c>
      <c r="E36">
        <f t="shared" si="13"/>
        <v>2.3152114551394654E-5</v>
      </c>
      <c r="G36">
        <v>3</v>
      </c>
      <c r="H36" s="5">
        <v>7.4999999999999997E-8</v>
      </c>
      <c r="I36" s="5">
        <v>2.3149199999999999E-7</v>
      </c>
      <c r="J36">
        <f t="shared" si="14"/>
        <v>6.2500001840604114E-9</v>
      </c>
      <c r="K36">
        <f t="shared" si="15"/>
        <v>1.9291002018029246E-8</v>
      </c>
      <c r="N36">
        <f t="shared" si="9"/>
        <v>33</v>
      </c>
      <c r="O36">
        <f t="shared" si="4"/>
        <v>32</v>
      </c>
      <c r="P36" s="8">
        <f t="shared" si="5"/>
        <v>0.83495011645010742</v>
      </c>
      <c r="Q36">
        <f t="shared" ref="Q36:Q67" si="16">_xlfn.IFNA(P35*VLOOKUP(O36,Mortality_Table,IF($B$5="M",4,5),FALSE),0)*(N36&lt;=$B$8)</f>
        <v>2.4262969987286875E-5</v>
      </c>
      <c r="R36">
        <f t="shared" si="6"/>
        <v>6.3824342663962343E-3</v>
      </c>
      <c r="S36">
        <f t="shared" ref="S36:S67" si="17">_xlfn.IFNA(P35*VLOOKUP(O36,Morbidity_Table,IF($B$5="M",4,5),FALSE),0)*(N36&lt;=$B$8)</f>
        <v>2.0215984441686881E-8</v>
      </c>
      <c r="T36">
        <f t="shared" si="3"/>
        <v>0</v>
      </c>
      <c r="U36">
        <f t="shared" si="7"/>
        <v>2.4262969987286875E-3</v>
      </c>
      <c r="V36">
        <f t="shared" si="8"/>
        <v>2.021598444168688E-6</v>
      </c>
      <c r="W36">
        <f t="shared" si="0"/>
        <v>-7.790069555554811</v>
      </c>
      <c r="Y36">
        <v>105.46215187443345</v>
      </c>
      <c r="Z36">
        <v>0.22038793011432237</v>
      </c>
      <c r="AA36">
        <v>0.80782340596587499</v>
      </c>
      <c r="AB36">
        <v>2.0338094969710552E-3</v>
      </c>
      <c r="AC36">
        <v>0</v>
      </c>
      <c r="AD36">
        <v>24.068733127825595</v>
      </c>
      <c r="AE36">
        <v>0.20338094969710557</v>
      </c>
      <c r="AF36">
        <v>-387.50248730206528</v>
      </c>
    </row>
    <row r="37" spans="1:32">
      <c r="A37">
        <v>4</v>
      </c>
      <c r="B37" s="5">
        <v>8.7999999999999998E-5</v>
      </c>
      <c r="C37">
        <v>2.0562999999999999E-4</v>
      </c>
      <c r="D37">
        <f t="shared" si="13"/>
        <v>7.3336291277481536E-6</v>
      </c>
      <c r="E37">
        <f t="shared" si="13"/>
        <v>1.7137448547810408E-5</v>
      </c>
      <c r="G37">
        <v>4</v>
      </c>
      <c r="H37" s="5">
        <v>7.3333399999999994E-8</v>
      </c>
      <c r="I37" s="5">
        <v>1.7135799999999999E-7</v>
      </c>
      <c r="J37">
        <f t="shared" si="14"/>
        <v>6.1111168347949274E-9</v>
      </c>
      <c r="K37">
        <f t="shared" si="15"/>
        <v>1.4279834426034199E-8</v>
      </c>
      <c r="N37">
        <f t="shared" si="9"/>
        <v>34</v>
      </c>
      <c r="O37">
        <f t="shared" si="4"/>
        <v>32</v>
      </c>
      <c r="P37" s="8">
        <f t="shared" si="5"/>
        <v>0.83492601817439616</v>
      </c>
      <c r="Q37">
        <f t="shared" si="16"/>
        <v>2.4078213666306127E-5</v>
      </c>
      <c r="R37">
        <f t="shared" si="6"/>
        <v>0</v>
      </c>
      <c r="S37">
        <f t="shared" si="17"/>
        <v>2.0062044882250951E-8</v>
      </c>
      <c r="T37">
        <f t="shared" si="3"/>
        <v>0</v>
      </c>
      <c r="U37">
        <f t="shared" si="7"/>
        <v>2.4078213666306127E-3</v>
      </c>
      <c r="V37">
        <f t="shared" si="8"/>
        <v>2.0062044882250953E-6</v>
      </c>
      <c r="W37">
        <f t="shared" si="0"/>
        <v>-7.825735363392063</v>
      </c>
      <c r="Y37">
        <v>105.24684181419997</v>
      </c>
      <c r="Z37">
        <v>0.21531006023342741</v>
      </c>
      <c r="AA37">
        <v>0</v>
      </c>
      <c r="AB37">
        <v>1.9888686201876365E-3</v>
      </c>
      <c r="AC37">
        <v>0</v>
      </c>
      <c r="AD37">
        <v>23.523644213516533</v>
      </c>
      <c r="AE37">
        <v>0.19888686201876354</v>
      </c>
      <c r="AF37">
        <v>-413.53095141056951</v>
      </c>
    </row>
    <row r="38" spans="1:32">
      <c r="A38">
        <v>5</v>
      </c>
      <c r="B38" s="5">
        <v>8.6000000000000003E-5</v>
      </c>
      <c r="C38">
        <v>1.4955E-4</v>
      </c>
      <c r="D38">
        <f t="shared" si="13"/>
        <v>7.1669491682468944E-6</v>
      </c>
      <c r="E38">
        <f t="shared" si="13"/>
        <v>1.2463354308156482E-5</v>
      </c>
      <c r="G38">
        <v>5</v>
      </c>
      <c r="H38" s="5">
        <v>7.1666699999999999E-8</v>
      </c>
      <c r="I38" s="5">
        <v>1.2462499999999999E-7</v>
      </c>
      <c r="J38">
        <f t="shared" si="14"/>
        <v>5.9722251588567588E-9</v>
      </c>
      <c r="K38">
        <f t="shared" si="15"/>
        <v>1.038541730391529E-8</v>
      </c>
      <c r="N38">
        <f t="shared" si="9"/>
        <v>35</v>
      </c>
      <c r="O38">
        <f t="shared" si="4"/>
        <v>32</v>
      </c>
      <c r="P38" s="8">
        <f t="shared" si="5"/>
        <v>0.83490192059420787</v>
      </c>
      <c r="Q38">
        <f t="shared" si="16"/>
        <v>2.407751872247639E-5</v>
      </c>
      <c r="R38">
        <f t="shared" si="6"/>
        <v>0</v>
      </c>
      <c r="S38">
        <f t="shared" si="17"/>
        <v>2.0061465852822271E-8</v>
      </c>
      <c r="T38">
        <f t="shared" si="3"/>
        <v>0</v>
      </c>
      <c r="U38">
        <f t="shared" si="7"/>
        <v>2.4077518722476392E-3</v>
      </c>
      <c r="V38">
        <f t="shared" si="8"/>
        <v>2.0061465852822272E-6</v>
      </c>
      <c r="W38">
        <f t="shared" si="0"/>
        <v>-7.8615347273809544</v>
      </c>
      <c r="Y38">
        <v>105.03481851188693</v>
      </c>
      <c r="Z38">
        <v>0.21202330231305236</v>
      </c>
      <c r="AA38">
        <v>0</v>
      </c>
      <c r="AB38">
        <v>1.9603554407864234E-3</v>
      </c>
      <c r="AC38">
        <v>0</v>
      </c>
      <c r="AD38">
        <v>23.173551622533434</v>
      </c>
      <c r="AE38">
        <v>0.19603554407864218</v>
      </c>
      <c r="AF38">
        <v>-439.11850807276909</v>
      </c>
    </row>
    <row r="39" spans="1:32">
      <c r="A39">
        <v>6</v>
      </c>
      <c r="B39" s="5">
        <v>8.5000000000000006E-5</v>
      </c>
      <c r="C39">
        <v>1.0906E-4</v>
      </c>
      <c r="D39">
        <f t="shared" si="13"/>
        <v>7.0836093031267922E-6</v>
      </c>
      <c r="E39">
        <f t="shared" si="13"/>
        <v>9.0887876529333056E-6</v>
      </c>
      <c r="G39">
        <v>6</v>
      </c>
      <c r="H39" s="5">
        <v>7.0833400000000005E-8</v>
      </c>
      <c r="I39" s="5">
        <v>9.0883400000000002E-8</v>
      </c>
      <c r="J39">
        <f t="shared" si="14"/>
        <v>5.9027834842240168E-9</v>
      </c>
      <c r="K39">
        <f t="shared" si="15"/>
        <v>7.57361695580272E-9</v>
      </c>
      <c r="N39">
        <f t="shared" si="9"/>
        <v>36</v>
      </c>
      <c r="O39">
        <f t="shared" si="4"/>
        <v>32</v>
      </c>
      <c r="P39" s="8">
        <f t="shared" si="5"/>
        <v>0.82854435565844076</v>
      </c>
      <c r="Q39">
        <f t="shared" si="16"/>
        <v>2.4076823798704079E-5</v>
      </c>
      <c r="R39">
        <f t="shared" si="6"/>
        <v>6.3334680510816043E-3</v>
      </c>
      <c r="S39">
        <f t="shared" si="17"/>
        <v>2.0060886840105505E-8</v>
      </c>
      <c r="T39">
        <f t="shared" si="3"/>
        <v>4.1427217782922039</v>
      </c>
      <c r="U39">
        <f t="shared" si="7"/>
        <v>2.4076823798704081E-3</v>
      </c>
      <c r="V39">
        <f t="shared" si="8"/>
        <v>2.0060886840105504E-6</v>
      </c>
      <c r="W39">
        <f t="shared" si="0"/>
        <v>-7.8974867172283076</v>
      </c>
      <c r="Y39">
        <v>104.02921073348458</v>
      </c>
      <c r="Z39">
        <v>0.20882596381173782</v>
      </c>
      <c r="AA39">
        <v>0.79678181459055242</v>
      </c>
      <c r="AB39">
        <v>1.932585137581287E-3</v>
      </c>
      <c r="AC39">
        <v>546.46033640880376</v>
      </c>
      <c r="AD39">
        <v>22.832713427729534</v>
      </c>
      <c r="AE39">
        <v>0.19325851375812877</v>
      </c>
      <c r="AF39">
        <v>-464.46075449927923</v>
      </c>
    </row>
    <row r="40" spans="1:32">
      <c r="A40">
        <v>7</v>
      </c>
      <c r="B40" s="5">
        <v>8.6000000000000003E-5</v>
      </c>
      <c r="C40" s="5">
        <v>8.3300000000000005E-5</v>
      </c>
      <c r="D40">
        <f t="shared" si="13"/>
        <v>7.1669491682468944E-6</v>
      </c>
      <c r="E40">
        <f t="shared" si="13"/>
        <v>6.9419317078045495E-6</v>
      </c>
      <c r="G40">
        <v>7</v>
      </c>
      <c r="H40" s="5">
        <v>7.1666699999999999E-8</v>
      </c>
      <c r="I40" s="5">
        <v>6.9416700000000002E-8</v>
      </c>
      <c r="J40">
        <f t="shared" si="14"/>
        <v>5.9722251588567588E-9</v>
      </c>
      <c r="K40">
        <f t="shared" si="15"/>
        <v>5.7847251433429392E-9</v>
      </c>
      <c r="N40">
        <f t="shared" si="9"/>
        <v>37</v>
      </c>
      <c r="O40">
        <f t="shared" si="4"/>
        <v>33</v>
      </c>
      <c r="P40" s="8">
        <f t="shared" si="5"/>
        <v>0.82851850674598049</v>
      </c>
      <c r="Q40">
        <f t="shared" si="16"/>
        <v>2.5827393296038134E-5</v>
      </c>
      <c r="R40">
        <f t="shared" si="6"/>
        <v>0</v>
      </c>
      <c r="S40">
        <f t="shared" si="17"/>
        <v>2.1519164191172562E-8</v>
      </c>
      <c r="T40">
        <f t="shared" si="3"/>
        <v>0</v>
      </c>
      <c r="U40">
        <f t="shared" si="7"/>
        <v>2.5827393296038136E-3</v>
      </c>
      <c r="V40">
        <f t="shared" si="8"/>
        <v>2.1519164191172561E-6</v>
      </c>
      <c r="W40">
        <f t="shared" si="0"/>
        <v>-3.7732001757292446</v>
      </c>
      <c r="Y40">
        <v>103.23353762206058</v>
      </c>
      <c r="Z40">
        <v>0.79567311142408259</v>
      </c>
      <c r="AA40">
        <v>0</v>
      </c>
      <c r="AB40">
        <v>2.4478368163331067E-3</v>
      </c>
      <c r="AC40">
        <v>0</v>
      </c>
      <c r="AD40">
        <v>89.578937092634149</v>
      </c>
      <c r="AE40">
        <v>0.2447836816333106</v>
      </c>
      <c r="AF40">
        <v>59.22515122713196</v>
      </c>
    </row>
    <row r="41" spans="1:32">
      <c r="A41">
        <v>8</v>
      </c>
      <c r="B41" s="5">
        <v>8.7999999999999998E-5</v>
      </c>
      <c r="C41" s="5">
        <v>7.0900000000000002E-5</v>
      </c>
      <c r="D41">
        <f t="shared" si="13"/>
        <v>7.3336291277481536E-6</v>
      </c>
      <c r="E41">
        <f t="shared" si="13"/>
        <v>5.9085253382162861E-6</v>
      </c>
      <c r="G41">
        <v>8</v>
      </c>
      <c r="H41" s="5">
        <v>7.3333399999999994E-8</v>
      </c>
      <c r="I41" s="5">
        <v>5.9083400000000002E-8</v>
      </c>
      <c r="J41">
        <f t="shared" si="14"/>
        <v>6.1111168347949274E-9</v>
      </c>
      <c r="K41">
        <f t="shared" si="15"/>
        <v>4.9236168475630393E-9</v>
      </c>
      <c r="N41">
        <f t="shared" si="9"/>
        <v>38</v>
      </c>
      <c r="O41">
        <f t="shared" si="4"/>
        <v>33</v>
      </c>
      <c r="P41" s="8">
        <f t="shared" si="5"/>
        <v>0.82849265863995414</v>
      </c>
      <c r="Q41">
        <f t="shared" si="16"/>
        <v>2.5826587533469328E-5</v>
      </c>
      <c r="R41">
        <f t="shared" si="6"/>
        <v>0</v>
      </c>
      <c r="S41">
        <f t="shared" si="17"/>
        <v>2.1518492836660767E-8</v>
      </c>
      <c r="T41">
        <f t="shared" si="3"/>
        <v>0</v>
      </c>
      <c r="U41">
        <f t="shared" si="7"/>
        <v>2.5826587533469328E-3</v>
      </c>
      <c r="V41">
        <f t="shared" si="8"/>
        <v>2.1518492836660767E-6</v>
      </c>
      <c r="W41">
        <f t="shared" si="0"/>
        <v>-3.7918899947613531</v>
      </c>
      <c r="Y41">
        <v>103.02510980670289</v>
      </c>
      <c r="Z41">
        <v>0.20842781535768418</v>
      </c>
      <c r="AA41">
        <v>0</v>
      </c>
      <c r="AB41">
        <v>1.9316084572142686E-3</v>
      </c>
      <c r="AC41">
        <v>0</v>
      </c>
      <c r="AD41">
        <v>22.769527081491521</v>
      </c>
      <c r="AE41">
        <v>0.19316084572142678</v>
      </c>
      <c r="AF41">
        <v>-30.729082207197752</v>
      </c>
    </row>
    <row r="42" spans="1:32">
      <c r="A42">
        <v>9</v>
      </c>
      <c r="B42" s="5">
        <v>9.2E-5</v>
      </c>
      <c r="C42" s="5">
        <v>6.9400000000000006E-5</v>
      </c>
      <c r="D42">
        <f t="shared" si="13"/>
        <v>7.6669899634618233E-6</v>
      </c>
      <c r="E42">
        <f t="shared" si="13"/>
        <v>5.7835172996290041E-6</v>
      </c>
      <c r="G42">
        <v>9</v>
      </c>
      <c r="H42" s="5">
        <v>7.6666700000000005E-8</v>
      </c>
      <c r="I42" s="5">
        <v>5.7833400000000001E-8</v>
      </c>
      <c r="J42">
        <f t="shared" si="14"/>
        <v>6.38889185999858E-9</v>
      </c>
      <c r="K42">
        <f t="shared" si="15"/>
        <v>4.819450172277584E-9</v>
      </c>
      <c r="N42">
        <f t="shared" si="9"/>
        <v>39</v>
      </c>
      <c r="O42">
        <f t="shared" si="4"/>
        <v>33</v>
      </c>
      <c r="P42" s="8">
        <f t="shared" si="5"/>
        <v>0.82218196319875214</v>
      </c>
      <c r="Q42">
        <f t="shared" si="16"/>
        <v>2.5825781796038688E-5</v>
      </c>
      <c r="R42">
        <f t="shared" si="6"/>
        <v>6.2848481415844646E-3</v>
      </c>
      <c r="S42">
        <f t="shared" si="17"/>
        <v>2.1517821503093873E-8</v>
      </c>
      <c r="T42">
        <f t="shared" si="3"/>
        <v>0</v>
      </c>
      <c r="U42">
        <f t="shared" si="7"/>
        <v>2.582578179603869E-3</v>
      </c>
      <c r="V42">
        <f t="shared" si="8"/>
        <v>2.1517821503093874E-6</v>
      </c>
      <c r="W42">
        <f t="shared" si="0"/>
        <v>-3.8106594508463236</v>
      </c>
      <c r="Y42">
        <v>102.03819972996865</v>
      </c>
      <c r="Z42">
        <v>0.2053736766795444</v>
      </c>
      <c r="AA42">
        <v>0.78153640005466951</v>
      </c>
      <c r="AB42">
        <v>1.9050894810605423E-3</v>
      </c>
      <c r="AC42">
        <v>0</v>
      </c>
      <c r="AD42">
        <v>22.443848826929976</v>
      </c>
      <c r="AE42">
        <v>0.19050894810605437</v>
      </c>
      <c r="AF42">
        <v>-53.920782661708657</v>
      </c>
    </row>
    <row r="43" spans="1:32">
      <c r="A43">
        <v>10</v>
      </c>
      <c r="B43" s="5">
        <v>9.8999999999999994E-5</v>
      </c>
      <c r="C43" s="5">
        <v>7.6500000000000003E-5</v>
      </c>
      <c r="D43">
        <f t="shared" si="13"/>
        <v>8.2503743674688934E-6</v>
      </c>
      <c r="E43">
        <f t="shared" si="13"/>
        <v>6.3752235344161079E-6</v>
      </c>
      <c r="G43">
        <v>10</v>
      </c>
      <c r="H43" s="5">
        <v>8.2500000000000004E-8</v>
      </c>
      <c r="I43" s="5">
        <v>6.3749999999999998E-8</v>
      </c>
      <c r="J43">
        <f t="shared" si="14"/>
        <v>6.8750002357731432E-9</v>
      </c>
      <c r="K43">
        <f t="shared" si="15"/>
        <v>5.3125001064913135E-9</v>
      </c>
      <c r="N43">
        <f t="shared" si="9"/>
        <v>40</v>
      </c>
      <c r="O43">
        <f t="shared" si="4"/>
        <v>33</v>
      </c>
      <c r="P43" s="8">
        <f t="shared" si="5"/>
        <v>0.82215631278010171</v>
      </c>
      <c r="Q43">
        <f t="shared" si="16"/>
        <v>2.5629064731926997E-5</v>
      </c>
      <c r="R43">
        <f t="shared" si="6"/>
        <v>0</v>
      </c>
      <c r="S43">
        <f t="shared" si="17"/>
        <v>2.1353918520191058E-8</v>
      </c>
      <c r="T43">
        <f t="shared" si="3"/>
        <v>0</v>
      </c>
      <c r="U43">
        <f t="shared" si="7"/>
        <v>2.5629064731926996E-3</v>
      </c>
      <c r="V43">
        <f t="shared" si="8"/>
        <v>2.1353918520191057E-6</v>
      </c>
      <c r="W43">
        <f t="shared" si="0"/>
        <v>-3.829508883664118</v>
      </c>
      <c r="Y43">
        <v>101.83735516610236</v>
      </c>
      <c r="Z43">
        <v>0.20084456386639668</v>
      </c>
      <c r="AA43">
        <v>0</v>
      </c>
      <c r="AB43">
        <v>1.8648031398358301E-3</v>
      </c>
      <c r="AC43">
        <v>0</v>
      </c>
      <c r="AD43">
        <v>21.956498934441864</v>
      </c>
      <c r="AE43">
        <v>0.18648031398358281</v>
      </c>
      <c r="AF43">
        <v>-76.88167253179715</v>
      </c>
    </row>
    <row r="44" spans="1:32">
      <c r="A44">
        <v>11</v>
      </c>
      <c r="B44">
        <v>1.08E-4</v>
      </c>
      <c r="C44" s="5">
        <v>8.8999999999999995E-5</v>
      </c>
      <c r="D44">
        <f t="shared" si="13"/>
        <v>9.0004455307601816E-6</v>
      </c>
      <c r="E44">
        <f t="shared" si="13"/>
        <v>7.4169692220182881E-6</v>
      </c>
      <c r="G44">
        <v>11</v>
      </c>
      <c r="H44" s="5">
        <v>8.9999999999999999E-8</v>
      </c>
      <c r="I44" s="5">
        <v>7.4166700000000002E-8</v>
      </c>
      <c r="J44">
        <f t="shared" si="14"/>
        <v>7.5000002874858751E-9</v>
      </c>
      <c r="K44">
        <f t="shared" si="15"/>
        <v>6.1805585094276694E-9</v>
      </c>
      <c r="N44">
        <f t="shared" si="9"/>
        <v>41</v>
      </c>
      <c r="O44">
        <f t="shared" si="4"/>
        <v>33</v>
      </c>
      <c r="P44" s="8">
        <f t="shared" si="5"/>
        <v>0.82213066316169259</v>
      </c>
      <c r="Q44">
        <f t="shared" si="16"/>
        <v>2.5628265156809303E-5</v>
      </c>
      <c r="R44">
        <f t="shared" si="6"/>
        <v>0</v>
      </c>
      <c r="S44">
        <f t="shared" si="17"/>
        <v>2.1353252321010843E-8</v>
      </c>
      <c r="T44">
        <f t="shared" si="3"/>
        <v>0</v>
      </c>
      <c r="U44">
        <f t="shared" si="7"/>
        <v>2.5628265156809301E-3</v>
      </c>
      <c r="V44">
        <f t="shared" si="8"/>
        <v>2.1353252321010842E-6</v>
      </c>
      <c r="W44">
        <f t="shared" si="0"/>
        <v>-3.8484189432531268</v>
      </c>
      <c r="Y44">
        <v>101.63937931823871</v>
      </c>
      <c r="Z44">
        <v>0.19797584786349617</v>
      </c>
      <c r="AA44">
        <v>0</v>
      </c>
      <c r="AB44">
        <v>1.8398245699414459E-3</v>
      </c>
      <c r="AC44">
        <v>0</v>
      </c>
      <c r="AD44">
        <v>21.650086255704714</v>
      </c>
      <c r="AE44">
        <v>0.1839824569941447</v>
      </c>
      <c r="AF44">
        <v>-99.447023508929192</v>
      </c>
    </row>
    <row r="45" spans="1:32">
      <c r="A45">
        <v>12</v>
      </c>
      <c r="B45">
        <v>1.2E-4</v>
      </c>
      <c r="C45">
        <v>1.038E-4</v>
      </c>
      <c r="D45">
        <f t="shared" si="13"/>
        <v>1.0000550042188472E-5</v>
      </c>
      <c r="E45">
        <f t="shared" si="13"/>
        <v>8.6504115510699364E-6</v>
      </c>
      <c r="G45">
        <v>12</v>
      </c>
      <c r="H45" s="5">
        <v>9.9999999999999995E-8</v>
      </c>
      <c r="I45" s="5">
        <v>8.65E-8</v>
      </c>
      <c r="J45">
        <f t="shared" si="14"/>
        <v>8.3333336897695176E-9</v>
      </c>
      <c r="K45">
        <f t="shared" si="15"/>
        <v>7.2083335966866002E-9</v>
      </c>
      <c r="N45">
        <f t="shared" si="9"/>
        <v>42</v>
      </c>
      <c r="O45">
        <f t="shared" si="4"/>
        <v>33</v>
      </c>
      <c r="P45" s="8">
        <f t="shared" si="5"/>
        <v>0.81586842755346911</v>
      </c>
      <c r="Q45">
        <f t="shared" si="16"/>
        <v>2.5627465606636736E-5</v>
      </c>
      <c r="R45">
        <f t="shared" si="6"/>
        <v>6.2365867900307176E-3</v>
      </c>
      <c r="S45">
        <f t="shared" si="17"/>
        <v>2.1352586142614699E-8</v>
      </c>
      <c r="T45">
        <f t="shared" si="3"/>
        <v>0</v>
      </c>
      <c r="U45">
        <f t="shared" si="7"/>
        <v>2.5627465606636738E-3</v>
      </c>
      <c r="V45">
        <f t="shared" si="8"/>
        <v>2.1352586142614699E-6</v>
      </c>
      <c r="W45">
        <f t="shared" si="0"/>
        <v>-3.8674095799131316</v>
      </c>
      <c r="Y45">
        <v>100.67317138484124</v>
      </c>
      <c r="Z45">
        <v>0.19518352230773167</v>
      </c>
      <c r="AA45">
        <v>0.77102441108972519</v>
      </c>
      <c r="AB45">
        <v>1.8154776050280472E-3</v>
      </c>
      <c r="AC45">
        <v>0</v>
      </c>
      <c r="AD45">
        <v>21.351589728815952</v>
      </c>
      <c r="AE45">
        <v>0.18154776050280474</v>
      </c>
      <c r="AF45">
        <v>-121.79839476862166</v>
      </c>
    </row>
    <row r="46" spans="1:32">
      <c r="A46">
        <v>13</v>
      </c>
      <c r="B46">
        <v>1.34E-4</v>
      </c>
      <c r="C46">
        <v>1.1836E-4</v>
      </c>
      <c r="D46">
        <f t="shared" si="13"/>
        <v>1.1167352544805276E-5</v>
      </c>
      <c r="E46">
        <f t="shared" si="13"/>
        <v>9.8638684431495705E-6</v>
      </c>
      <c r="G46">
        <v>13</v>
      </c>
      <c r="H46" s="5">
        <v>1.11667E-7</v>
      </c>
      <c r="I46" s="5">
        <v>9.8633400000000002E-8</v>
      </c>
      <c r="J46">
        <f t="shared" si="14"/>
        <v>9.3055838590316853E-9</v>
      </c>
      <c r="K46">
        <f t="shared" si="15"/>
        <v>8.2194503425725429E-9</v>
      </c>
      <c r="N46">
        <f t="shared" si="9"/>
        <v>43</v>
      </c>
      <c r="O46">
        <f t="shared" si="4"/>
        <v>33</v>
      </c>
      <c r="P46" s="8">
        <f t="shared" si="5"/>
        <v>0.81584297410439433</v>
      </c>
      <c r="Q46">
        <f t="shared" si="16"/>
        <v>2.5432259132944072E-5</v>
      </c>
      <c r="R46">
        <f t="shared" si="6"/>
        <v>0</v>
      </c>
      <c r="S46">
        <f t="shared" si="17"/>
        <v>2.1189941770787344E-8</v>
      </c>
      <c r="T46">
        <f t="shared" si="3"/>
        <v>0</v>
      </c>
      <c r="U46">
        <f t="shared" si="7"/>
        <v>2.5432259132944072E-3</v>
      </c>
      <c r="V46">
        <f t="shared" si="8"/>
        <v>2.1189941770787342E-6</v>
      </c>
      <c r="W46">
        <f t="shared" si="0"/>
        <v>-3.8864811373335515</v>
      </c>
      <c r="Y46">
        <v>100.48218721236152</v>
      </c>
      <c r="Z46">
        <v>0.19098417247975302</v>
      </c>
      <c r="AA46">
        <v>0</v>
      </c>
      <c r="AB46">
        <v>1.7779679967677639E-3</v>
      </c>
      <c r="AC46">
        <v>0</v>
      </c>
      <c r="AD46">
        <v>20.898756867321026</v>
      </c>
      <c r="AE46">
        <v>0.1777967996767765</v>
      </c>
      <c r="AF46">
        <v>-143.94288696577934</v>
      </c>
    </row>
    <row r="47" spans="1:32">
      <c r="A47">
        <v>14</v>
      </c>
      <c r="B47">
        <v>1.46E-4</v>
      </c>
      <c r="C47">
        <v>1.3088999999999999E-4</v>
      </c>
      <c r="D47">
        <f t="shared" si="13"/>
        <v>1.216748089538644E-5</v>
      </c>
      <c r="E47">
        <f t="shared" si="13"/>
        <v>1.0908154409294823E-5</v>
      </c>
      <c r="G47">
        <v>14</v>
      </c>
      <c r="H47" s="5">
        <v>1.21667E-7</v>
      </c>
      <c r="I47" s="5">
        <v>1.09075E-7</v>
      </c>
      <c r="J47">
        <f t="shared" si="14"/>
        <v>1.0138917261315328E-8</v>
      </c>
      <c r="K47">
        <f t="shared" si="15"/>
        <v>9.0895837523419232E-9</v>
      </c>
      <c r="N47">
        <f t="shared" si="9"/>
        <v>44</v>
      </c>
      <c r="O47">
        <f t="shared" si="4"/>
        <v>33</v>
      </c>
      <c r="P47" s="8">
        <f t="shared" si="5"/>
        <v>0.81581752144941588</v>
      </c>
      <c r="Q47">
        <f t="shared" si="16"/>
        <v>2.5431465697764044E-5</v>
      </c>
      <c r="R47">
        <f t="shared" si="6"/>
        <v>0</v>
      </c>
      <c r="S47">
        <f t="shared" si="17"/>
        <v>2.1189280687350917E-8</v>
      </c>
      <c r="T47">
        <f t="shared" si="3"/>
        <v>0</v>
      </c>
      <c r="U47">
        <f t="shared" si="7"/>
        <v>2.5431465697764045E-3</v>
      </c>
      <c r="V47">
        <f t="shared" si="8"/>
        <v>2.1189280687350915E-6</v>
      </c>
      <c r="W47">
        <f t="shared" si="0"/>
        <v>-3.9056144207872285</v>
      </c>
      <c r="Y47">
        <v>100.29383017042585</v>
      </c>
      <c r="Z47">
        <v>0.18835704193560235</v>
      </c>
      <c r="AA47">
        <v>0</v>
      </c>
      <c r="AB47">
        <v>1.7549984883018649E-3</v>
      </c>
      <c r="AC47">
        <v>0</v>
      </c>
      <c r="AD47">
        <v>20.617465319781818</v>
      </c>
      <c r="AE47">
        <v>0.17549984883018657</v>
      </c>
      <c r="AF47">
        <v>-165.72330118827745</v>
      </c>
    </row>
    <row r="48" spans="1:32">
      <c r="A48">
        <v>15</v>
      </c>
      <c r="B48">
        <v>1.56E-4</v>
      </c>
      <c r="C48">
        <v>1.4006000000000001E-4</v>
      </c>
      <c r="D48">
        <f t="shared" si="13"/>
        <v>1.3000929592665855E-5</v>
      </c>
      <c r="E48">
        <f t="shared" si="13"/>
        <v>1.167241598665214E-5</v>
      </c>
      <c r="G48">
        <v>15</v>
      </c>
      <c r="H48" s="5">
        <v>1.3E-7</v>
      </c>
      <c r="I48" s="5">
        <v>1.16717E-7</v>
      </c>
      <c r="J48">
        <f t="shared" si="14"/>
        <v>1.0833334007642748E-8</v>
      </c>
      <c r="K48">
        <f t="shared" si="15"/>
        <v>9.7264172271849247E-9</v>
      </c>
      <c r="N48">
        <f t="shared" si="9"/>
        <v>45</v>
      </c>
      <c r="O48">
        <f t="shared" si="4"/>
        <v>33</v>
      </c>
      <c r="P48" s="8">
        <f t="shared" si="5"/>
        <v>0.8096033735510928</v>
      </c>
      <c r="Q48">
        <f t="shared" si="16"/>
        <v>2.5430672287337591E-5</v>
      </c>
      <c r="R48">
        <f t="shared" si="6"/>
        <v>6.1886960374160898E-3</v>
      </c>
      <c r="S48">
        <f t="shared" si="17"/>
        <v>2.1188619624538958E-8</v>
      </c>
      <c r="T48">
        <f t="shared" si="3"/>
        <v>0</v>
      </c>
      <c r="U48">
        <f t="shared" si="7"/>
        <v>2.5430672287337589E-3</v>
      </c>
      <c r="V48">
        <f t="shared" si="8"/>
        <v>2.1188619624538958E-6</v>
      </c>
      <c r="W48">
        <f t="shared" si="0"/>
        <v>-3.9248292340500193</v>
      </c>
      <c r="Y48">
        <v>99.347215155641194</v>
      </c>
      <c r="Z48">
        <v>0.18579778172233632</v>
      </c>
      <c r="AA48">
        <v>0.76081723306243387</v>
      </c>
      <c r="AB48">
        <v>1.7325920994056086E-3</v>
      </c>
      <c r="AC48">
        <v>0</v>
      </c>
      <c r="AD48">
        <v>20.343223210739605</v>
      </c>
      <c r="AE48">
        <v>0.17325920994056068</v>
      </c>
      <c r="AF48">
        <v>-187.31181773159065</v>
      </c>
    </row>
    <row r="49" spans="1:32">
      <c r="A49">
        <v>16</v>
      </c>
      <c r="B49">
        <v>1.64E-4</v>
      </c>
      <c r="C49">
        <v>1.4631999999999999E-4</v>
      </c>
      <c r="D49">
        <f t="shared" si="13"/>
        <v>1.3667694052088564E-5</v>
      </c>
      <c r="E49">
        <f t="shared" si="13"/>
        <v>1.2194151135402898E-5</v>
      </c>
      <c r="G49">
        <v>16</v>
      </c>
      <c r="H49" s="5">
        <v>1.3666699999999999E-7</v>
      </c>
      <c r="I49" s="5">
        <v>1.2193300000000001E-7</v>
      </c>
      <c r="J49">
        <f t="shared" si="14"/>
        <v>1.1388917364740792E-8</v>
      </c>
      <c r="K49">
        <f t="shared" si="15"/>
        <v>1.0161083863202691E-8</v>
      </c>
      <c r="N49">
        <f t="shared" si="9"/>
        <v>46</v>
      </c>
      <c r="O49">
        <f t="shared" si="4"/>
        <v>33</v>
      </c>
      <c r="P49" s="8">
        <f t="shared" si="5"/>
        <v>0.80957811555906434</v>
      </c>
      <c r="Q49">
        <f t="shared" si="16"/>
        <v>2.5236964804239485E-5</v>
      </c>
      <c r="R49">
        <f t="shared" si="6"/>
        <v>0</v>
      </c>
      <c r="S49">
        <f t="shared" si="17"/>
        <v>2.1027224198912078E-8</v>
      </c>
      <c r="T49">
        <f t="shared" si="3"/>
        <v>0</v>
      </c>
      <c r="U49">
        <f t="shared" si="7"/>
        <v>2.5236964804239486E-3</v>
      </c>
      <c r="V49">
        <f t="shared" si="8"/>
        <v>2.1027224198912077E-6</v>
      </c>
      <c r="W49">
        <f t="shared" si="0"/>
        <v>-3.9441259248750553</v>
      </c>
      <c r="Y49">
        <v>99.165320625865888</v>
      </c>
      <c r="Z49">
        <v>0.1818945297753024</v>
      </c>
      <c r="AA49">
        <v>0</v>
      </c>
      <c r="AB49">
        <v>1.6975861364976555E-3</v>
      </c>
      <c r="AC49">
        <v>0</v>
      </c>
      <c r="AD49">
        <v>19.921462991301418</v>
      </c>
      <c r="AE49">
        <v>0.16975861364976558</v>
      </c>
      <c r="AF49">
        <v>-208.71475414964783</v>
      </c>
    </row>
    <row r="50" spans="1:32">
      <c r="A50">
        <v>17</v>
      </c>
      <c r="B50">
        <v>1.7200000000000001E-4</v>
      </c>
      <c r="C50">
        <v>1.5187999999999999E-4</v>
      </c>
      <c r="D50">
        <f t="shared" si="13"/>
        <v>1.4334463401932673E-5</v>
      </c>
      <c r="E50">
        <f t="shared" si="13"/>
        <v>1.2657547803773816E-5</v>
      </c>
      <c r="G50">
        <v>17</v>
      </c>
      <c r="H50" s="5">
        <v>1.43333E-7</v>
      </c>
      <c r="I50" s="5">
        <v>1.26567E-7</v>
      </c>
      <c r="J50">
        <f t="shared" si="14"/>
        <v>1.1944417455111989E-8</v>
      </c>
      <c r="K50">
        <f t="shared" si="15"/>
        <v>1.0547250628434313E-8</v>
      </c>
      <c r="N50">
        <f t="shared" si="9"/>
        <v>47</v>
      </c>
      <c r="O50">
        <f t="shared" si="4"/>
        <v>33</v>
      </c>
      <c r="P50" s="8">
        <f t="shared" si="5"/>
        <v>0.80955285835503432</v>
      </c>
      <c r="Q50">
        <f t="shared" si="16"/>
        <v>2.5236177461848541E-5</v>
      </c>
      <c r="R50">
        <f t="shared" si="6"/>
        <v>0</v>
      </c>
      <c r="S50">
        <f t="shared" si="17"/>
        <v>2.1026568191935639E-8</v>
      </c>
      <c r="T50">
        <f t="shared" si="3"/>
        <v>0</v>
      </c>
      <c r="U50">
        <f t="shared" si="7"/>
        <v>2.5236177461848541E-3</v>
      </c>
      <c r="V50">
        <f t="shared" si="8"/>
        <v>2.1026568191935639E-6</v>
      </c>
      <c r="W50">
        <f t="shared" si="0"/>
        <v>-3.963485452662991</v>
      </c>
      <c r="Y50">
        <v>98.985837862724679</v>
      </c>
      <c r="Z50">
        <v>0.17948276314119943</v>
      </c>
      <c r="AA50">
        <v>0</v>
      </c>
      <c r="AB50">
        <v>1.676414272243901E-3</v>
      </c>
      <c r="AC50">
        <v>0</v>
      </c>
      <c r="AD50">
        <v>19.662619934332497</v>
      </c>
      <c r="AE50">
        <v>0.16764142722438999</v>
      </c>
      <c r="AF50">
        <v>-229.78190623029872</v>
      </c>
    </row>
    <row r="51" spans="1:32">
      <c r="A51">
        <v>18</v>
      </c>
      <c r="B51">
        <v>1.7899999999999999E-4</v>
      </c>
      <c r="C51">
        <v>1.5692000000000001E-4</v>
      </c>
      <c r="D51">
        <f t="shared" si="13"/>
        <v>1.4917890594823291E-5</v>
      </c>
      <c r="E51">
        <f t="shared" si="13"/>
        <v>1.307760725666185E-5</v>
      </c>
      <c r="G51">
        <v>18</v>
      </c>
      <c r="H51" s="5">
        <v>1.49167E-7</v>
      </c>
      <c r="I51" s="5">
        <v>1.30767E-7</v>
      </c>
      <c r="J51">
        <f t="shared" si="14"/>
        <v>1.2430584228617647E-8</v>
      </c>
      <c r="K51">
        <f t="shared" si="15"/>
        <v>1.0897250657393442E-8</v>
      </c>
      <c r="N51">
        <f t="shared" si="9"/>
        <v>48</v>
      </c>
      <c r="O51">
        <f t="shared" si="4"/>
        <v>33</v>
      </c>
      <c r="P51" s="8">
        <f t="shared" si="5"/>
        <v>0.80338642890106693</v>
      </c>
      <c r="Q51">
        <f t="shared" si="16"/>
        <v>2.5235390144021095E-5</v>
      </c>
      <c r="R51">
        <f t="shared" si="6"/>
        <v>6.1411730379111696E-3</v>
      </c>
      <c r="S51">
        <f t="shared" si="17"/>
        <v>2.1025912205425297E-8</v>
      </c>
      <c r="T51">
        <f t="shared" si="3"/>
        <v>4.0169321445053345</v>
      </c>
      <c r="U51">
        <f t="shared" si="7"/>
        <v>2.5235390144021097E-3</v>
      </c>
      <c r="V51">
        <f t="shared" si="8"/>
        <v>2.1025912205425296E-6</v>
      </c>
      <c r="W51">
        <f t="shared" si="0"/>
        <v>-3.9829274758766857</v>
      </c>
      <c r="Y51">
        <v>98.057811485671223</v>
      </c>
      <c r="Z51">
        <v>0.17713142023390865</v>
      </c>
      <c r="AA51">
        <v>0.75089495681950624</v>
      </c>
      <c r="AB51">
        <v>1.6557455407492508E-3</v>
      </c>
      <c r="AC51">
        <v>515.08179270213236</v>
      </c>
      <c r="AD51">
        <v>19.410067754338936</v>
      </c>
      <c r="AE51">
        <v>0.16557455407492508</v>
      </c>
      <c r="AF51">
        <v>-250.67684311291632</v>
      </c>
    </row>
    <row r="52" spans="1:32">
      <c r="A52">
        <v>19</v>
      </c>
      <c r="B52">
        <v>1.85E-4</v>
      </c>
      <c r="C52">
        <v>1.6181999999999999E-4</v>
      </c>
      <c r="D52">
        <f t="shared" si="13"/>
        <v>1.5417974026044057E-5</v>
      </c>
      <c r="E52">
        <f t="shared" si="13"/>
        <v>1.3486000252194152E-5</v>
      </c>
      <c r="G52">
        <v>19</v>
      </c>
      <c r="H52" s="5">
        <v>1.5416700000000001E-7</v>
      </c>
      <c r="I52" s="5">
        <v>1.3484999999999999E-7</v>
      </c>
      <c r="J52">
        <f t="shared" si="14"/>
        <v>1.2847250929759468E-8</v>
      </c>
      <c r="K52">
        <f t="shared" si="15"/>
        <v>1.1237500707750314E-8</v>
      </c>
      <c r="N52">
        <f t="shared" si="9"/>
        <v>49</v>
      </c>
      <c r="O52">
        <f t="shared" si="4"/>
        <v>34</v>
      </c>
      <c r="P52" s="8">
        <f t="shared" si="5"/>
        <v>0.80335915292025784</v>
      </c>
      <c r="Q52">
        <f t="shared" si="16"/>
        <v>2.7253273958420949E-5</v>
      </c>
      <c r="R52">
        <f t="shared" si="6"/>
        <v>0</v>
      </c>
      <c r="S52">
        <f t="shared" si="17"/>
        <v>2.270685063320728E-8</v>
      </c>
      <c r="T52">
        <f t="shared" si="3"/>
        <v>0</v>
      </c>
      <c r="U52">
        <f t="shared" si="7"/>
        <v>2.7253273958420948E-3</v>
      </c>
      <c r="V52">
        <f t="shared" si="8"/>
        <v>2.270685063320728E-6</v>
      </c>
      <c r="W52">
        <f t="shared" si="0"/>
        <v>3.1613295115089188E-2</v>
      </c>
      <c r="Y52">
        <v>97.632293178463769</v>
      </c>
      <c r="Z52">
        <v>0.42551830720750639</v>
      </c>
      <c r="AA52">
        <v>0</v>
      </c>
      <c r="AB52">
        <v>1.9221925727847193E-3</v>
      </c>
      <c r="AC52">
        <v>0</v>
      </c>
      <c r="AD52">
        <v>44.418642876184755</v>
      </c>
      <c r="AE52">
        <v>0.19221925727847192</v>
      </c>
      <c r="AF52">
        <v>245.87358237690398</v>
      </c>
    </row>
    <row r="53" spans="1:32">
      <c r="A53">
        <v>20</v>
      </c>
      <c r="B53">
        <v>1.9100000000000001E-4</v>
      </c>
      <c r="C53">
        <v>1.674E-4</v>
      </c>
      <c r="D53">
        <f t="shared" si="13"/>
        <v>1.5918060208286455E-5</v>
      </c>
      <c r="E53">
        <f t="shared" si="13"/>
        <v>1.395107042823085E-5</v>
      </c>
      <c r="G53">
        <v>20</v>
      </c>
      <c r="H53" s="5">
        <v>1.5916700000000001E-7</v>
      </c>
      <c r="I53" s="5">
        <v>1.395E-7</v>
      </c>
      <c r="J53">
        <f t="shared" si="14"/>
        <v>1.326391763090129E-8</v>
      </c>
      <c r="K53">
        <f t="shared" si="15"/>
        <v>1.1625000739812208E-8</v>
      </c>
      <c r="N53">
        <f t="shared" si="9"/>
        <v>50</v>
      </c>
      <c r="O53">
        <f t="shared" si="4"/>
        <v>34</v>
      </c>
      <c r="P53" s="8">
        <f t="shared" si="5"/>
        <v>0.80333187786550264</v>
      </c>
      <c r="Q53">
        <f t="shared" si="16"/>
        <v>2.7252348675455326E-5</v>
      </c>
      <c r="R53">
        <f t="shared" si="6"/>
        <v>0</v>
      </c>
      <c r="S53">
        <f t="shared" si="17"/>
        <v>2.2706079707037973E-8</v>
      </c>
      <c r="T53">
        <f t="shared" si="3"/>
        <v>0</v>
      </c>
      <c r="U53">
        <f t="shared" si="7"/>
        <v>2.7252348675455324E-3</v>
      </c>
      <c r="V53">
        <f t="shared" si="8"/>
        <v>2.2706079707037974E-6</v>
      </c>
      <c r="W53">
        <f t="shared" si="0"/>
        <v>2.9008903746571914E-2</v>
      </c>
      <c r="Y53">
        <v>97.451594026230723</v>
      </c>
      <c r="Z53">
        <v>0.18069915223296429</v>
      </c>
      <c r="AA53">
        <v>0</v>
      </c>
      <c r="AB53">
        <v>1.6997307834937538E-3</v>
      </c>
      <c r="AC53">
        <v>0</v>
      </c>
      <c r="AD53">
        <v>19.915825763458297</v>
      </c>
      <c r="AE53">
        <v>0.16997307834937533</v>
      </c>
      <c r="AF53">
        <v>202.12116994808667</v>
      </c>
    </row>
    <row r="54" spans="1:32">
      <c r="A54">
        <v>21</v>
      </c>
      <c r="B54">
        <v>1.9699999999999999E-4</v>
      </c>
      <c r="C54">
        <v>1.7430000000000001E-4</v>
      </c>
      <c r="D54">
        <f t="shared" si="13"/>
        <v>1.6418149141439464E-5</v>
      </c>
      <c r="E54">
        <f t="shared" si="13"/>
        <v>1.452616049513189E-5</v>
      </c>
      <c r="G54">
        <v>21</v>
      </c>
      <c r="H54" s="5">
        <v>1.6416699999999999E-7</v>
      </c>
      <c r="I54" s="5">
        <v>1.4525000000000001E-7</v>
      </c>
      <c r="J54">
        <f t="shared" si="14"/>
        <v>1.3680584332043111E-8</v>
      </c>
      <c r="K54">
        <f t="shared" si="15"/>
        <v>1.2104167446125302E-8</v>
      </c>
      <c r="N54">
        <f t="shared" si="9"/>
        <v>51</v>
      </c>
      <c r="O54">
        <f t="shared" si="4"/>
        <v>34</v>
      </c>
      <c r="P54" s="8">
        <f t="shared" si="5"/>
        <v>0.79721062232724649</v>
      </c>
      <c r="Q54">
        <f t="shared" si="16"/>
        <v>2.7251423423904223E-5</v>
      </c>
      <c r="R54">
        <f t="shared" si="6"/>
        <v>6.0939814095234785E-3</v>
      </c>
      <c r="S54">
        <f t="shared" si="17"/>
        <v>2.2705308807042579E-8</v>
      </c>
      <c r="T54">
        <f t="shared" si="3"/>
        <v>0</v>
      </c>
      <c r="U54">
        <f t="shared" si="7"/>
        <v>2.7251423423904223E-3</v>
      </c>
      <c r="V54">
        <f t="shared" si="8"/>
        <v>2.2705308807042578E-6</v>
      </c>
      <c r="W54">
        <f t="shared" si="0"/>
        <v>2.6393496818447777E-2</v>
      </c>
      <c r="Y54">
        <v>96.533730041984455</v>
      </c>
      <c r="Z54">
        <v>0.17860762123212101</v>
      </c>
      <c r="AA54">
        <v>0.73925636301427555</v>
      </c>
      <c r="AB54">
        <v>1.6807949650443224E-3</v>
      </c>
      <c r="AC54">
        <v>0</v>
      </c>
      <c r="AD54">
        <v>19.686095829770437</v>
      </c>
      <c r="AE54">
        <v>0.16807949650443221</v>
      </c>
      <c r="AF54">
        <v>182.81181003333077</v>
      </c>
    </row>
    <row r="55" spans="1:32">
      <c r="A55">
        <v>22</v>
      </c>
      <c r="B55">
        <v>2.03E-4</v>
      </c>
      <c r="C55">
        <v>1.8299000000000001E-4</v>
      </c>
      <c r="D55">
        <f t="shared" si="13"/>
        <v>1.6918240825725128E-5</v>
      </c>
      <c r="E55">
        <f t="shared" si="13"/>
        <v>1.5250445770220722E-5</v>
      </c>
      <c r="G55">
        <v>22</v>
      </c>
      <c r="H55" s="5">
        <v>1.69167E-7</v>
      </c>
      <c r="I55" s="5">
        <v>1.5249200000000001E-7</v>
      </c>
      <c r="J55">
        <f t="shared" si="14"/>
        <v>1.4097251144207235E-8</v>
      </c>
      <c r="K55">
        <f t="shared" si="15"/>
        <v>1.2707667584876958E-8</v>
      </c>
      <c r="N55">
        <f t="shared" si="9"/>
        <v>52</v>
      </c>
      <c r="O55">
        <f t="shared" si="4"/>
        <v>34</v>
      </c>
      <c r="P55" s="8">
        <f t="shared" si="5"/>
        <v>0.79718355602284663</v>
      </c>
      <c r="Q55">
        <f t="shared" si="16"/>
        <v>2.7043772101760543E-5</v>
      </c>
      <c r="R55">
        <f t="shared" si="6"/>
        <v>0</v>
      </c>
      <c r="S55">
        <f t="shared" si="17"/>
        <v>2.2532298123522568E-8</v>
      </c>
      <c r="T55">
        <f t="shared" si="3"/>
        <v>0</v>
      </c>
      <c r="U55">
        <f t="shared" si="7"/>
        <v>2.7043772101760545E-3</v>
      </c>
      <c r="V55">
        <f t="shared" si="8"/>
        <v>2.2532298123522569E-6</v>
      </c>
      <c r="W55">
        <f t="shared" si="0"/>
        <v>2.3767027342683607E-2</v>
      </c>
      <c r="Y55">
        <v>96.358529507701974</v>
      </c>
      <c r="Z55">
        <v>0.17520053428242516</v>
      </c>
      <c r="AA55">
        <v>0</v>
      </c>
      <c r="AB55">
        <v>1.6494539324910719E-3</v>
      </c>
      <c r="AC55">
        <v>0</v>
      </c>
      <c r="AD55">
        <v>19.311282762693029</v>
      </c>
      <c r="AE55">
        <v>0.16494539324910715</v>
      </c>
      <c r="AF55">
        <v>163.65270100256677</v>
      </c>
    </row>
    <row r="56" spans="1:32">
      <c r="A56">
        <v>23</v>
      </c>
      <c r="B56">
        <v>2.1000000000000001E-4</v>
      </c>
      <c r="C56">
        <v>1.9366000000000001E-4</v>
      </c>
      <c r="D56">
        <f t="shared" si="13"/>
        <v>1.7501684601017864E-5</v>
      </c>
      <c r="E56">
        <f t="shared" si="13"/>
        <v>1.613976596248623E-5</v>
      </c>
      <c r="G56">
        <v>23</v>
      </c>
      <c r="H56" s="5">
        <v>1.7499999999999999E-7</v>
      </c>
      <c r="I56" s="5">
        <v>1.6138300000000001E-7</v>
      </c>
      <c r="J56">
        <f t="shared" si="14"/>
        <v>1.4583334539963744E-8</v>
      </c>
      <c r="K56">
        <f t="shared" si="15"/>
        <v>1.3448584357256266E-8</v>
      </c>
      <c r="N56">
        <f t="shared" si="9"/>
        <v>53</v>
      </c>
      <c r="O56">
        <f t="shared" si="4"/>
        <v>34</v>
      </c>
      <c r="P56" s="8">
        <f t="shared" si="5"/>
        <v>0.79715649063738192</v>
      </c>
      <c r="Q56">
        <f t="shared" si="16"/>
        <v>2.7042853931646741E-5</v>
      </c>
      <c r="R56">
        <f t="shared" si="6"/>
        <v>0</v>
      </c>
      <c r="S56">
        <f t="shared" si="17"/>
        <v>2.2531533123630745E-8</v>
      </c>
      <c r="T56">
        <f t="shared" si="3"/>
        <v>0</v>
      </c>
      <c r="U56">
        <f t="shared" si="7"/>
        <v>2.7042853931646743E-3</v>
      </c>
      <c r="V56">
        <f t="shared" si="8"/>
        <v>2.2531533123630747E-6</v>
      </c>
      <c r="W56">
        <f t="shared" si="0"/>
        <v>2.1150226213751809E-2</v>
      </c>
      <c r="Y56">
        <v>96.185327232803402</v>
      </c>
      <c r="Z56">
        <v>0.17320227489860571</v>
      </c>
      <c r="AA56">
        <v>0</v>
      </c>
      <c r="AB56">
        <v>1.6313410166967075E-3</v>
      </c>
      <c r="AC56">
        <v>0</v>
      </c>
      <c r="AD56">
        <v>19.091666666298874</v>
      </c>
      <c r="AE56">
        <v>0.16313410166967085</v>
      </c>
      <c r="AF56">
        <v>144.79143149561045</v>
      </c>
    </row>
    <row r="57" spans="1:32">
      <c r="A57">
        <v>24</v>
      </c>
      <c r="B57">
        <v>2.1800000000000001E-4</v>
      </c>
      <c r="C57">
        <v>2.0620999999999999E-4</v>
      </c>
      <c r="D57">
        <f t="shared" si="13"/>
        <v>1.8168482072256076E-5</v>
      </c>
      <c r="E57">
        <f t="shared" si="13"/>
        <v>1.7185791006402162E-5</v>
      </c>
      <c r="G57">
        <v>24</v>
      </c>
      <c r="H57" s="5">
        <v>1.8166700000000001E-7</v>
      </c>
      <c r="I57" s="5">
        <v>1.7184200000000001E-7</v>
      </c>
      <c r="J57">
        <f t="shared" si="14"/>
        <v>1.5138917897061788E-8</v>
      </c>
      <c r="K57">
        <f t="shared" si="15"/>
        <v>1.4320167829318109E-8</v>
      </c>
      <c r="N57">
        <f t="shared" si="9"/>
        <v>54</v>
      </c>
      <c r="O57">
        <f t="shared" si="4"/>
        <v>34</v>
      </c>
      <c r="P57" s="8">
        <f t="shared" si="5"/>
        <v>0.79108229052455148</v>
      </c>
      <c r="Q57">
        <f t="shared" si="16"/>
        <v>2.704193579270597E-5</v>
      </c>
      <c r="R57">
        <f t="shared" si="6"/>
        <v>6.0471356462696059E-3</v>
      </c>
      <c r="S57">
        <f t="shared" si="17"/>
        <v>2.2530768149711635E-8</v>
      </c>
      <c r="T57">
        <f t="shared" si="3"/>
        <v>0</v>
      </c>
      <c r="U57">
        <f t="shared" si="7"/>
        <v>2.7041935792705969E-3</v>
      </c>
      <c r="V57">
        <f t="shared" si="8"/>
        <v>2.2530768149711635E-6</v>
      </c>
      <c r="W57">
        <f t="shared" si="0"/>
        <v>1.8522355878712062E-2</v>
      </c>
      <c r="Y57">
        <v>95.284435480653954</v>
      </c>
      <c r="Z57">
        <v>0.17124114052038392</v>
      </c>
      <c r="AA57">
        <v>0.7296506116289988</v>
      </c>
      <c r="AB57">
        <v>1.6135542464127521E-3</v>
      </c>
      <c r="AC57">
        <v>0</v>
      </c>
      <c r="AD57">
        <v>18.87606910792287</v>
      </c>
      <c r="AE57">
        <v>0.16135542464127522</v>
      </c>
      <c r="AF57">
        <v>126.07208450388043</v>
      </c>
    </row>
    <row r="58" spans="1:32">
      <c r="A58">
        <v>25</v>
      </c>
      <c r="B58">
        <v>2.2699999999999999E-4</v>
      </c>
      <c r="C58">
        <v>2.2013999999999999E-4</v>
      </c>
      <c r="D58">
        <f t="shared" si="13"/>
        <v>1.8918635073639223E-5</v>
      </c>
      <c r="E58">
        <f t="shared" si="13"/>
        <v>1.8346851225037319E-5</v>
      </c>
      <c r="G58">
        <v>25</v>
      </c>
      <c r="H58" s="5">
        <v>1.8916699999999999E-7</v>
      </c>
      <c r="I58" s="5">
        <v>1.8344999999999999E-7</v>
      </c>
      <c r="J58">
        <f t="shared" si="14"/>
        <v>1.5763918059796822E-8</v>
      </c>
      <c r="K58">
        <f t="shared" si="15"/>
        <v>1.5287501264893422E-8</v>
      </c>
      <c r="N58">
        <f t="shared" si="9"/>
        <v>55</v>
      </c>
      <c r="O58">
        <f t="shared" si="4"/>
        <v>34</v>
      </c>
      <c r="P58" s="8">
        <f t="shared" si="5"/>
        <v>0.79105543228473252</v>
      </c>
      <c r="Q58">
        <f t="shared" si="16"/>
        <v>2.6835880731532382E-5</v>
      </c>
      <c r="R58">
        <f t="shared" si="6"/>
        <v>0</v>
      </c>
      <c r="S58">
        <f t="shared" si="17"/>
        <v>2.2359087437022827E-8</v>
      </c>
      <c r="T58">
        <f t="shared" si="3"/>
        <v>0</v>
      </c>
      <c r="U58">
        <f t="shared" si="7"/>
        <v>2.683588073153238E-3</v>
      </c>
      <c r="V58">
        <f t="shared" si="8"/>
        <v>2.2359087437022828E-6</v>
      </c>
      <c r="W58">
        <f t="shared" si="0"/>
        <v>1.5883369120736037E-2</v>
      </c>
      <c r="Y58">
        <v>95.116418276257249</v>
      </c>
      <c r="Z58">
        <v>0.16801720439675105</v>
      </c>
      <c r="AA58">
        <v>0</v>
      </c>
      <c r="AB58">
        <v>1.5838456122559106E-3</v>
      </c>
      <c r="AC58">
        <v>0</v>
      </c>
      <c r="AD58">
        <v>18.521202065528183</v>
      </c>
      <c r="AE58">
        <v>0.15838456122559111</v>
      </c>
      <c r="AF58">
        <v>107.49119694015045</v>
      </c>
    </row>
    <row r="59" spans="1:32">
      <c r="A59">
        <v>26</v>
      </c>
      <c r="B59">
        <v>2.3800000000000001E-4</v>
      </c>
      <c r="C59">
        <v>2.3482E-4</v>
      </c>
      <c r="D59">
        <f t="shared" si="13"/>
        <v>1.9835497148457115E-5</v>
      </c>
      <c r="E59">
        <f t="shared" si="13"/>
        <v>1.957043970757244E-5</v>
      </c>
      <c r="G59">
        <v>26</v>
      </c>
      <c r="H59" s="5">
        <v>1.9833400000000001E-7</v>
      </c>
      <c r="I59" s="5">
        <v>1.9568399999999999E-7</v>
      </c>
      <c r="J59">
        <f t="shared" si="14"/>
        <v>1.6527834878488079E-8</v>
      </c>
      <c r="K59">
        <f t="shared" si="15"/>
        <v>1.6307001415860611E-8</v>
      </c>
      <c r="N59">
        <f t="shared" si="9"/>
        <v>56</v>
      </c>
      <c r="O59">
        <f t="shared" si="4"/>
        <v>34</v>
      </c>
      <c r="P59" s="8">
        <f t="shared" si="5"/>
        <v>0.79102857495678458</v>
      </c>
      <c r="Q59">
        <f t="shared" si="16"/>
        <v>2.6834969619592358E-5</v>
      </c>
      <c r="R59">
        <f t="shared" si="6"/>
        <v>0</v>
      </c>
      <c r="S59">
        <f t="shared" si="17"/>
        <v>2.2358328317851902E-8</v>
      </c>
      <c r="T59">
        <f t="shared" si="3"/>
        <v>0</v>
      </c>
      <c r="U59">
        <f t="shared" si="7"/>
        <v>2.6834969619592359E-3</v>
      </c>
      <c r="V59">
        <f t="shared" si="8"/>
        <v>2.2358328317851903E-6</v>
      </c>
      <c r="W59">
        <f t="shared" si="0"/>
        <v>1.3253836878873144E-2</v>
      </c>
      <c r="Y59">
        <v>94.950276061175131</v>
      </c>
      <c r="Z59">
        <v>0.16614221508208946</v>
      </c>
      <c r="AA59">
        <v>0</v>
      </c>
      <c r="AB59">
        <v>1.5668205465815114E-3</v>
      </c>
      <c r="AC59">
        <v>0</v>
      </c>
      <c r="AD59">
        <v>18.314961039365901</v>
      </c>
      <c r="AE59">
        <v>0.15668205465815105</v>
      </c>
      <c r="AF59">
        <v>89.190420162287026</v>
      </c>
    </row>
    <row r="60" spans="1:32">
      <c r="A60">
        <v>27</v>
      </c>
      <c r="B60">
        <v>2.5000000000000001E-4</v>
      </c>
      <c r="C60">
        <v>2.4949E-4</v>
      </c>
      <c r="D60">
        <f t="shared" si="13"/>
        <v>2.0835720867418139E-5</v>
      </c>
      <c r="E60">
        <f t="shared" si="13"/>
        <v>2.0793211135461398E-5</v>
      </c>
      <c r="G60">
        <v>27</v>
      </c>
      <c r="H60" s="5">
        <v>2.0833399999999999E-7</v>
      </c>
      <c r="I60" s="5">
        <v>2.0790900000000001E-7</v>
      </c>
      <c r="J60">
        <f t="shared" si="14"/>
        <v>1.7361168280771722E-8</v>
      </c>
      <c r="K60">
        <f t="shared" si="15"/>
        <v>1.7325751611174667E-8</v>
      </c>
      <c r="N60">
        <f t="shared" si="9"/>
        <v>57</v>
      </c>
      <c r="O60">
        <f t="shared" si="4"/>
        <v>34</v>
      </c>
      <c r="P60" s="8">
        <f t="shared" si="5"/>
        <v>0.78500106854406904</v>
      </c>
      <c r="Q60">
        <f t="shared" si="16"/>
        <v>2.6834058538585726E-5</v>
      </c>
      <c r="R60">
        <f t="shared" si="6"/>
        <v>6.0006499966077115E-3</v>
      </c>
      <c r="S60">
        <f t="shared" si="17"/>
        <v>2.2357569224454026E-8</v>
      </c>
      <c r="T60">
        <f t="shared" si="3"/>
        <v>0</v>
      </c>
      <c r="U60">
        <f t="shared" si="7"/>
        <v>2.6834058538585726E-3</v>
      </c>
      <c r="V60">
        <f t="shared" si="8"/>
        <v>2.2357569224454026E-6</v>
      </c>
      <c r="W60">
        <f t="shared" si="0"/>
        <v>1.0613180419225935E-2</v>
      </c>
      <c r="Y60">
        <v>94.065692973327415</v>
      </c>
      <c r="Z60">
        <v>0.16430142955806554</v>
      </c>
      <c r="AA60">
        <v>0.72028165828967572</v>
      </c>
      <c r="AB60">
        <v>1.5500966184814745E-3</v>
      </c>
      <c r="AC60">
        <v>0</v>
      </c>
      <c r="AD60">
        <v>18.112428799048473</v>
      </c>
      <c r="AE60">
        <v>0.15500966184814743</v>
      </c>
      <c r="AF60">
        <v>71.020415211749039</v>
      </c>
    </row>
    <row r="61" spans="1:32">
      <c r="A61">
        <v>28</v>
      </c>
      <c r="B61">
        <v>2.6400000000000002E-4</v>
      </c>
      <c r="C61">
        <v>2.6392000000000001E-4</v>
      </c>
      <c r="D61">
        <f t="shared" si="13"/>
        <v>2.2002662449116528E-5</v>
      </c>
      <c r="E61">
        <f t="shared" si="13"/>
        <v>2.1995994168966249E-5</v>
      </c>
      <c r="G61">
        <v>28</v>
      </c>
      <c r="H61" s="5">
        <v>2.2000000000000001E-7</v>
      </c>
      <c r="I61" s="5">
        <v>2.1993399999999999E-7</v>
      </c>
      <c r="J61">
        <f t="shared" si="14"/>
        <v>1.8333335183307042E-8</v>
      </c>
      <c r="K61">
        <f t="shared" si="15"/>
        <v>1.8327835138443049E-8</v>
      </c>
      <c r="N61">
        <f t="shared" si="9"/>
        <v>58</v>
      </c>
      <c r="O61">
        <f t="shared" si="4"/>
        <v>34</v>
      </c>
      <c r="P61" s="8">
        <f t="shared" si="5"/>
        <v>0.78497441676939317</v>
      </c>
      <c r="Q61">
        <f t="shared" si="16"/>
        <v>2.6629587467576255E-5</v>
      </c>
      <c r="R61">
        <f t="shared" si="6"/>
        <v>0</v>
      </c>
      <c r="S61">
        <f t="shared" si="17"/>
        <v>2.2187208258820779E-8</v>
      </c>
      <c r="T61">
        <f t="shared" si="3"/>
        <v>0</v>
      </c>
      <c r="U61">
        <f t="shared" si="7"/>
        <v>2.6629587467576253E-3</v>
      </c>
      <c r="V61">
        <f t="shared" si="8"/>
        <v>2.2187208258820778E-6</v>
      </c>
      <c r="W61">
        <f t="shared" si="0"/>
        <v>7.9613522903478132E-3</v>
      </c>
      <c r="Y61">
        <v>93.904445322360814</v>
      </c>
      <c r="Z61">
        <v>0.16124765096653634</v>
      </c>
      <c r="AA61">
        <v>0</v>
      </c>
      <c r="AB61">
        <v>1.5219079192510668E-3</v>
      </c>
      <c r="AC61">
        <v>0</v>
      </c>
      <c r="AD61">
        <v>17.776119125621921</v>
      </c>
      <c r="AE61">
        <v>0.15219079192510668</v>
      </c>
      <c r="AF61">
        <v>52.977985024894323</v>
      </c>
    </row>
    <row r="62" spans="1:32">
      <c r="A62">
        <v>29</v>
      </c>
      <c r="B62">
        <v>2.7999999999999998E-4</v>
      </c>
      <c r="C62">
        <v>2.7806E-4</v>
      </c>
      <c r="D62">
        <f t="shared" si="13"/>
        <v>2.3336328313527943E-5</v>
      </c>
      <c r="E62">
        <f t="shared" si="13"/>
        <v>2.3174620285115743E-5</v>
      </c>
      <c r="G62">
        <v>29</v>
      </c>
      <c r="H62" s="5">
        <v>2.3333399999999999E-7</v>
      </c>
      <c r="I62" s="5">
        <v>2.3171700000000001E-7</v>
      </c>
      <c r="J62">
        <f t="shared" si="14"/>
        <v>1.9444502119547735E-8</v>
      </c>
      <c r="K62">
        <f t="shared" si="15"/>
        <v>1.9309752019580628E-8</v>
      </c>
      <c r="N62">
        <f t="shared" si="9"/>
        <v>59</v>
      </c>
      <c r="O62">
        <f t="shared" si="4"/>
        <v>34</v>
      </c>
      <c r="P62" s="8">
        <f t="shared" si="5"/>
        <v>0.7849477658995786</v>
      </c>
      <c r="Q62">
        <f t="shared" si="16"/>
        <v>2.6628683359552284E-5</v>
      </c>
      <c r="R62">
        <f t="shared" si="6"/>
        <v>0</v>
      </c>
      <c r="S62">
        <f t="shared" si="17"/>
        <v>2.2186454975164369E-8</v>
      </c>
      <c r="T62">
        <f t="shared" si="3"/>
        <v>0</v>
      </c>
      <c r="U62">
        <f t="shared" si="7"/>
        <v>2.6628683359552286E-3</v>
      </c>
      <c r="V62">
        <f t="shared" si="8"/>
        <v>2.2186454975164368E-6</v>
      </c>
      <c r="W62">
        <f>W63/$B$12+SUM(U62,V62)-T62</f>
        <v>5.3187646978631632E-3</v>
      </c>
      <c r="Y62">
        <v>93.744958790488226</v>
      </c>
      <c r="Z62">
        <v>0.15948653187262224</v>
      </c>
      <c r="AA62">
        <v>0</v>
      </c>
      <c r="AB62">
        <v>1.5058899331048029E-3</v>
      </c>
      <c r="AC62">
        <v>0</v>
      </c>
      <c r="AD62">
        <v>17.582253535793612</v>
      </c>
      <c r="AE62">
        <v>0.15058899331048023</v>
      </c>
      <c r="AF62">
        <v>35.199173152526498</v>
      </c>
    </row>
    <row r="63" spans="1:32">
      <c r="A63">
        <v>30</v>
      </c>
      <c r="B63">
        <v>2.99E-4</v>
      </c>
      <c r="C63">
        <v>2.9035999999999998E-4</v>
      </c>
      <c r="D63">
        <f t="shared" si="13"/>
        <v>2.492008194066031E-5</v>
      </c>
      <c r="E63">
        <f t="shared" si="13"/>
        <v>2.4199887396880726E-5</v>
      </c>
      <c r="G63">
        <v>30</v>
      </c>
      <c r="H63" s="5">
        <v>2.4916700000000002E-7</v>
      </c>
      <c r="I63" s="5">
        <v>2.4196700000000001E-7</v>
      </c>
      <c r="J63">
        <f t="shared" si="14"/>
        <v>2.0763919028610189E-8</v>
      </c>
      <c r="K63">
        <f t="shared" si="15"/>
        <v>2.0163918867943664E-8</v>
      </c>
      <c r="N63">
        <f t="shared" si="9"/>
        <v>60</v>
      </c>
      <c r="O63">
        <f t="shared" si="4"/>
        <v>34</v>
      </c>
      <c r="P63" s="8">
        <f t="shared" si="5"/>
        <v>0.7789665942423285</v>
      </c>
      <c r="Q63">
        <f t="shared" si="16"/>
        <v>2.6627779282223916E-5</v>
      </c>
      <c r="R63">
        <f t="shared" si="6"/>
        <v>5.954521692266128E-3</v>
      </c>
      <c r="S63" s="10">
        <f t="shared" si="17"/>
        <v>2.2185701717082885E-8</v>
      </c>
      <c r="T63">
        <f t="shared" si="3"/>
        <v>0</v>
      </c>
      <c r="U63">
        <f t="shared" si="7"/>
        <v>2.6627779282223916E-3</v>
      </c>
      <c r="V63">
        <f t="shared" si="8"/>
        <v>2.2185701717082887E-6</v>
      </c>
      <c r="W63">
        <f>W64/$B$12+SUM(U63,V63)-T63</f>
        <v>2.6649964983941001E-3</v>
      </c>
      <c r="Y63">
        <v>92.876063561943965</v>
      </c>
      <c r="Z63">
        <v>0.15775696570864742</v>
      </c>
      <c r="AA63">
        <v>0.7111382628356574</v>
      </c>
      <c r="AB63">
        <v>1.4901503398092317E-3</v>
      </c>
      <c r="AC63">
        <v>0</v>
      </c>
      <c r="AD63">
        <v>17.391815061309845</v>
      </c>
      <c r="AE63">
        <v>0.14901503398092325</v>
      </c>
      <c r="AF63">
        <v>17.540830095290779</v>
      </c>
    </row>
    <row r="64" spans="1:32">
      <c r="A64">
        <v>31</v>
      </c>
      <c r="B64">
        <v>3.21E-4</v>
      </c>
      <c r="C64">
        <v>3.0065000000000002E-4</v>
      </c>
      <c r="D64">
        <f t="shared" si="13"/>
        <v>2.6753936401058276E-5</v>
      </c>
      <c r="E64">
        <f t="shared" si="13"/>
        <v>2.5057619741919446E-5</v>
      </c>
      <c r="G64">
        <v>31</v>
      </c>
      <c r="H64" s="5">
        <v>2.6749999999999998E-7</v>
      </c>
      <c r="I64" s="5">
        <v>2.5054200000000002E-7</v>
      </c>
      <c r="J64">
        <f t="shared" si="14"/>
        <v>2.2291669399265857E-8</v>
      </c>
      <c r="K64">
        <f t="shared" si="15"/>
        <v>2.087850237142419E-8</v>
      </c>
      <c r="N64">
        <f t="shared" si="9"/>
        <v>61</v>
      </c>
      <c r="O64">
        <f t="shared" ref="O64:O127" si="18">IF(MOD(N64,12)=1,O63+1,O63)</f>
        <v>35</v>
      </c>
      <c r="P64" s="8">
        <f t="shared" si="5"/>
        <v>0</v>
      </c>
      <c r="Q64">
        <f t="shared" si="16"/>
        <v>0</v>
      </c>
      <c r="R64">
        <f t="shared" si="6"/>
        <v>0</v>
      </c>
      <c r="S64">
        <f t="shared" si="17"/>
        <v>0</v>
      </c>
      <c r="T64">
        <f t="shared" ref="T64:T127" si="19">IF(MOD(N64,12)=0,$B$9,0)*P64*(N64&lt;$B$8)</f>
        <v>0</v>
      </c>
      <c r="U64">
        <f t="shared" ref="U64:U127" si="20">Q64*$B$10</f>
        <v>0</v>
      </c>
      <c r="V64">
        <f t="shared" ref="V64:V127" si="21">$B$14*S64</f>
        <v>0</v>
      </c>
      <c r="W64">
        <f t="shared" ref="W64:W127" si="22">W65/$B$12+SUM(U64,V64)-T64</f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</row>
    <row r="65" spans="1:32">
      <c r="A65">
        <v>32</v>
      </c>
      <c r="B65">
        <v>3.4600000000000001E-4</v>
      </c>
      <c r="C65">
        <v>3.1018000000000002E-4</v>
      </c>
      <c r="D65">
        <f t="shared" si="13"/>
        <v>2.8837906830503357E-5</v>
      </c>
      <c r="E65">
        <f t="shared" si="13"/>
        <v>2.5852008811555471E-5</v>
      </c>
      <c r="G65">
        <v>32</v>
      </c>
      <c r="H65" s="5">
        <v>2.8833399999999999E-7</v>
      </c>
      <c r="I65" s="5">
        <v>2.5848399999999997E-7</v>
      </c>
      <c r="J65">
        <f t="shared" si="14"/>
        <v>2.4027836498241584E-8</v>
      </c>
      <c r="K65">
        <f t="shared" si="15"/>
        <v>2.1540335848335701E-8</v>
      </c>
      <c r="N65">
        <f t="shared" si="9"/>
        <v>62</v>
      </c>
      <c r="O65">
        <f t="shared" si="18"/>
        <v>35</v>
      </c>
      <c r="P65" s="8">
        <f t="shared" si="5"/>
        <v>0</v>
      </c>
      <c r="Q65">
        <f t="shared" si="16"/>
        <v>0</v>
      </c>
      <c r="R65">
        <f t="shared" si="6"/>
        <v>0</v>
      </c>
      <c r="S65">
        <f t="shared" si="17"/>
        <v>0</v>
      </c>
      <c r="T65">
        <f t="shared" si="19"/>
        <v>0</v>
      </c>
      <c r="U65">
        <f t="shared" si="20"/>
        <v>0</v>
      </c>
      <c r="V65">
        <f t="shared" si="21"/>
        <v>0</v>
      </c>
      <c r="W65">
        <f t="shared" si="22"/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</row>
    <row r="66" spans="1:32">
      <c r="A66">
        <v>33</v>
      </c>
      <c r="B66">
        <v>3.7399999999999998E-4</v>
      </c>
      <c r="C66">
        <v>3.2046E-4</v>
      </c>
      <c r="D66">
        <f t="shared" si="13"/>
        <v>3.1172010429680874E-5</v>
      </c>
      <c r="E66">
        <f t="shared" si="13"/>
        <v>2.6708923166918197E-5</v>
      </c>
      <c r="G66">
        <v>33</v>
      </c>
      <c r="H66" s="5">
        <v>3.1166700000000001E-7</v>
      </c>
      <c r="I66" s="5">
        <v>2.6705E-7</v>
      </c>
      <c r="J66">
        <f t="shared" si="14"/>
        <v>2.5972253681061375E-8</v>
      </c>
      <c r="K66">
        <f t="shared" si="15"/>
        <v>2.2254169396163093E-8</v>
      </c>
      <c r="N66">
        <f t="shared" si="9"/>
        <v>63</v>
      </c>
      <c r="O66">
        <f t="shared" si="18"/>
        <v>35</v>
      </c>
      <c r="P66" s="8">
        <f t="shared" si="5"/>
        <v>0</v>
      </c>
      <c r="Q66">
        <f t="shared" si="16"/>
        <v>0</v>
      </c>
      <c r="R66">
        <f t="shared" si="6"/>
        <v>0</v>
      </c>
      <c r="S66">
        <f t="shared" si="17"/>
        <v>0</v>
      </c>
      <c r="T66">
        <f t="shared" si="19"/>
        <v>0</v>
      </c>
      <c r="U66">
        <f t="shared" si="20"/>
        <v>0</v>
      </c>
      <c r="V66">
        <f t="shared" si="21"/>
        <v>0</v>
      </c>
      <c r="W66">
        <f t="shared" si="22"/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</row>
    <row r="67" spans="1:32">
      <c r="A67">
        <v>34</v>
      </c>
      <c r="B67">
        <v>4.0700000000000003E-4</v>
      </c>
      <c r="C67">
        <v>3.3358999999999998E-4</v>
      </c>
      <c r="D67">
        <f t="shared" si="13"/>
        <v>3.3922995183899296E-5</v>
      </c>
      <c r="E67">
        <f t="shared" si="13"/>
        <v>2.7803417937954933E-5</v>
      </c>
      <c r="G67">
        <v>34</v>
      </c>
      <c r="H67" s="5">
        <v>3.3916700000000001E-7</v>
      </c>
      <c r="I67" s="5">
        <v>2.7799200000000002E-7</v>
      </c>
      <c r="J67">
        <f t="shared" si="14"/>
        <v>2.8263921092452904E-8</v>
      </c>
      <c r="K67">
        <f t="shared" si="15"/>
        <v>2.3166003004781999E-8</v>
      </c>
      <c r="N67">
        <f t="shared" si="9"/>
        <v>64</v>
      </c>
      <c r="O67">
        <f t="shared" si="18"/>
        <v>35</v>
      </c>
      <c r="P67" s="8">
        <f t="shared" si="5"/>
        <v>0</v>
      </c>
      <c r="Q67">
        <f t="shared" si="16"/>
        <v>0</v>
      </c>
      <c r="R67">
        <f t="shared" si="6"/>
        <v>0</v>
      </c>
      <c r="S67">
        <f t="shared" si="17"/>
        <v>0</v>
      </c>
      <c r="T67">
        <f t="shared" si="19"/>
        <v>0</v>
      </c>
      <c r="U67">
        <f t="shared" si="20"/>
        <v>0</v>
      </c>
      <c r="V67">
        <f t="shared" si="21"/>
        <v>0</v>
      </c>
      <c r="W67">
        <f t="shared" si="22"/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</row>
    <row r="68" spans="1:32">
      <c r="A68">
        <v>35</v>
      </c>
      <c r="B68">
        <v>4.4299999999999998E-4</v>
      </c>
      <c r="C68">
        <v>3.5419999999999999E-4</v>
      </c>
      <c r="D68">
        <f t="shared" si="13"/>
        <v>3.6924164410367943E-5</v>
      </c>
      <c r="E68">
        <f t="shared" si="13"/>
        <v>2.9521459536163697E-5</v>
      </c>
      <c r="G68">
        <v>35</v>
      </c>
      <c r="H68" s="5">
        <v>3.6916699999999999E-7</v>
      </c>
      <c r="I68" s="5">
        <v>2.9516699999999999E-7</v>
      </c>
      <c r="J68">
        <f t="shared" si="14"/>
        <v>3.0763921854415344E-8</v>
      </c>
      <c r="K68">
        <f t="shared" si="15"/>
        <v>2.459725334524876E-8</v>
      </c>
      <c r="N68">
        <f t="shared" si="9"/>
        <v>65</v>
      </c>
      <c r="O68">
        <f t="shared" si="18"/>
        <v>35</v>
      </c>
      <c r="P68" s="8">
        <f t="shared" si="5"/>
        <v>0</v>
      </c>
      <c r="Q68">
        <f t="shared" ref="Q68:Q99" si="23">_xlfn.IFNA(P67*VLOOKUP(O68,Mortality_Table,IF($B$5="M",4,5),FALSE),0)*(N68&lt;=$B$8)</f>
        <v>0</v>
      </c>
      <c r="R68">
        <f t="shared" si="6"/>
        <v>0</v>
      </c>
      <c r="S68">
        <f t="shared" ref="S68:S99" si="24">_xlfn.IFNA(P67*VLOOKUP(O68,Morbidity_Table,IF($B$5="M",4,5),FALSE),0)*(N68&lt;=$B$8)</f>
        <v>0</v>
      </c>
      <c r="T68">
        <f t="shared" si="19"/>
        <v>0</v>
      </c>
      <c r="U68">
        <f t="shared" si="20"/>
        <v>0</v>
      </c>
      <c r="V68">
        <f t="shared" si="21"/>
        <v>0</v>
      </c>
      <c r="W68">
        <f t="shared" si="22"/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</row>
    <row r="69" spans="1:32">
      <c r="A69">
        <v>36</v>
      </c>
      <c r="B69">
        <v>4.8299999999999998E-4</v>
      </c>
      <c r="C69">
        <v>3.8526000000000001E-4</v>
      </c>
      <c r="D69">
        <f t="shared" si="13"/>
        <v>4.0258913094337601E-5</v>
      </c>
      <c r="E69">
        <f t="shared" si="13"/>
        <v>3.2110670416418685E-5</v>
      </c>
      <c r="G69">
        <v>36</v>
      </c>
      <c r="H69" s="5">
        <v>4.0250099999999999E-7</v>
      </c>
      <c r="I69" s="5">
        <v>3.2105100000000001E-7</v>
      </c>
      <c r="J69">
        <f t="shared" si="14"/>
        <v>3.3541756150334834E-8</v>
      </c>
      <c r="K69">
        <f t="shared" si="15"/>
        <v>2.6754253923400029E-8</v>
      </c>
      <c r="N69">
        <f t="shared" si="9"/>
        <v>66</v>
      </c>
      <c r="O69">
        <f t="shared" si="18"/>
        <v>35</v>
      </c>
      <c r="P69" s="8">
        <f t="shared" ref="P69:P132" si="25">_xlfn.IFNA(P68-Q69-R69-S69,0)*(N69&lt;=$B$8)</f>
        <v>0</v>
      </c>
      <c r="Q69">
        <f t="shared" si="23"/>
        <v>0</v>
      </c>
      <c r="R69">
        <f t="shared" ref="R69:R132" si="26">_xlfn.IFNA(IF(MOD(N69,3)=0,VLOOKUP(_xlfn.FLOOR.MATH((N69-1)/12),$A$18:$D$24,3,FALSE),0)*P68,0)*(N69&lt;=$B$8)</f>
        <v>0</v>
      </c>
      <c r="S69">
        <f t="shared" si="24"/>
        <v>0</v>
      </c>
      <c r="T69">
        <f t="shared" si="19"/>
        <v>0</v>
      </c>
      <c r="U69">
        <f t="shared" si="20"/>
        <v>0</v>
      </c>
      <c r="V69">
        <f t="shared" si="21"/>
        <v>0</v>
      </c>
      <c r="W69">
        <f t="shared" si="22"/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</row>
    <row r="70" spans="1:32">
      <c r="A70">
        <v>37</v>
      </c>
      <c r="B70">
        <v>5.2800000000000004E-4</v>
      </c>
      <c r="C70">
        <v>4.2808000000000001E-4</v>
      </c>
      <c r="D70">
        <f t="shared" si="13"/>
        <v>4.4010651593318073E-5</v>
      </c>
      <c r="E70">
        <f t="shared" si="13"/>
        <v>3.5680334475096664E-5</v>
      </c>
      <c r="G70">
        <v>37</v>
      </c>
      <c r="H70" s="5">
        <v>4.40001E-7</v>
      </c>
      <c r="I70" s="5">
        <v>3.56734E-7</v>
      </c>
      <c r="J70">
        <f t="shared" si="14"/>
        <v>3.6666757408099215E-8</v>
      </c>
      <c r="K70">
        <f t="shared" si="15"/>
        <v>2.9727838191107026E-8</v>
      </c>
      <c r="N70">
        <f t="shared" si="9"/>
        <v>67</v>
      </c>
      <c r="O70">
        <f t="shared" si="18"/>
        <v>35</v>
      </c>
      <c r="P70" s="8">
        <f t="shared" si="25"/>
        <v>0</v>
      </c>
      <c r="Q70">
        <f t="shared" si="23"/>
        <v>0</v>
      </c>
      <c r="R70">
        <f t="shared" si="26"/>
        <v>0</v>
      </c>
      <c r="S70">
        <f t="shared" si="24"/>
        <v>0</v>
      </c>
      <c r="T70">
        <f t="shared" si="19"/>
        <v>0</v>
      </c>
      <c r="U70">
        <f t="shared" si="20"/>
        <v>0</v>
      </c>
      <c r="V70">
        <f t="shared" si="21"/>
        <v>0</v>
      </c>
      <c r="W70">
        <f t="shared" si="22"/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</row>
    <row r="71" spans="1:32">
      <c r="A71">
        <v>38</v>
      </c>
      <c r="B71">
        <v>5.7700000000000004E-4</v>
      </c>
      <c r="C71">
        <v>4.8288999999999998E-4</v>
      </c>
      <c r="D71">
        <f t="shared" si="13"/>
        <v>4.8096054061086413E-5</v>
      </c>
      <c r="E71">
        <f t="shared" si="13"/>
        <v>4.0249742367715058E-5</v>
      </c>
      <c r="G71">
        <v>38</v>
      </c>
      <c r="H71" s="5">
        <v>4.8083500000000003E-7</v>
      </c>
      <c r="I71" s="5">
        <v>4.0240899999999999E-7</v>
      </c>
      <c r="J71">
        <f t="shared" si="14"/>
        <v>4.0069592199820647E-8</v>
      </c>
      <c r="K71">
        <f t="shared" si="15"/>
        <v>3.3534089505238285E-8</v>
      </c>
      <c r="N71">
        <f t="shared" si="9"/>
        <v>68</v>
      </c>
      <c r="O71">
        <f t="shared" si="18"/>
        <v>35</v>
      </c>
      <c r="P71" s="8">
        <f t="shared" si="25"/>
        <v>0</v>
      </c>
      <c r="Q71">
        <f t="shared" si="23"/>
        <v>0</v>
      </c>
      <c r="R71">
        <f t="shared" si="26"/>
        <v>0</v>
      </c>
      <c r="S71">
        <f t="shared" si="24"/>
        <v>0</v>
      </c>
      <c r="T71">
        <f t="shared" si="19"/>
        <v>0</v>
      </c>
      <c r="U71">
        <f t="shared" si="20"/>
        <v>0</v>
      </c>
      <c r="V71">
        <f t="shared" si="21"/>
        <v>0</v>
      </c>
      <c r="W71">
        <f t="shared" si="22"/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</row>
    <row r="72" spans="1:32">
      <c r="A72">
        <v>39</v>
      </c>
      <c r="B72">
        <v>6.3199999999999997E-4</v>
      </c>
      <c r="C72">
        <v>5.4843000000000003E-4</v>
      </c>
      <c r="D72">
        <f t="shared" si="13"/>
        <v>5.2681928607190009E-5</v>
      </c>
      <c r="E72">
        <f t="shared" si="13"/>
        <v>4.5713991978613144E-5</v>
      </c>
      <c r="G72">
        <v>39</v>
      </c>
      <c r="H72" s="5">
        <v>5.2666800000000004E-7</v>
      </c>
      <c r="I72" s="5">
        <v>4.5702600000000001E-7</v>
      </c>
      <c r="J72">
        <f t="shared" si="14"/>
        <v>4.3889010648001658E-8</v>
      </c>
      <c r="K72">
        <f t="shared" si="15"/>
        <v>3.8085507969576327E-8</v>
      </c>
      <c r="N72">
        <f t="shared" ref="N72:N133" si="27">N71+1</f>
        <v>69</v>
      </c>
      <c r="O72">
        <f t="shared" si="18"/>
        <v>35</v>
      </c>
      <c r="P72" s="8">
        <f t="shared" si="25"/>
        <v>0</v>
      </c>
      <c r="Q72">
        <f t="shared" si="23"/>
        <v>0</v>
      </c>
      <c r="R72">
        <f t="shared" si="26"/>
        <v>0</v>
      </c>
      <c r="S72">
        <f t="shared" si="24"/>
        <v>0</v>
      </c>
      <c r="T72">
        <f t="shared" si="19"/>
        <v>0</v>
      </c>
      <c r="U72">
        <f t="shared" si="20"/>
        <v>0</v>
      </c>
      <c r="V72">
        <f t="shared" si="21"/>
        <v>0</v>
      </c>
      <c r="W72">
        <f t="shared" si="22"/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</row>
    <row r="73" spans="1:32">
      <c r="A73">
        <v>40</v>
      </c>
      <c r="B73">
        <v>6.9200000000000002E-4</v>
      </c>
      <c r="C73">
        <v>6.2003999999999998E-4</v>
      </c>
      <c r="D73">
        <f t="shared" si="13"/>
        <v>5.7684964701376629E-5</v>
      </c>
      <c r="E73">
        <f t="shared" si="13"/>
        <v>5.1684689658437755E-5</v>
      </c>
      <c r="G73">
        <v>40</v>
      </c>
      <c r="H73" s="5">
        <v>5.7666799999999999E-7</v>
      </c>
      <c r="I73" s="5">
        <v>5.1670099999999999E-7</v>
      </c>
      <c r="J73">
        <f t="shared" si="14"/>
        <v>4.8055679324754408E-8</v>
      </c>
      <c r="K73">
        <f t="shared" si="15"/>
        <v>4.3058426824060803E-8</v>
      </c>
      <c r="N73">
        <f t="shared" si="27"/>
        <v>70</v>
      </c>
      <c r="O73">
        <f t="shared" si="18"/>
        <v>35</v>
      </c>
      <c r="P73" s="8">
        <f t="shared" si="25"/>
        <v>0</v>
      </c>
      <c r="Q73">
        <f t="shared" si="23"/>
        <v>0</v>
      </c>
      <c r="R73">
        <f t="shared" si="26"/>
        <v>0</v>
      </c>
      <c r="S73">
        <f t="shared" si="24"/>
        <v>0</v>
      </c>
      <c r="T73">
        <f t="shared" si="19"/>
        <v>0</v>
      </c>
      <c r="U73">
        <f t="shared" si="20"/>
        <v>0</v>
      </c>
      <c r="V73">
        <f t="shared" si="21"/>
        <v>0</v>
      </c>
      <c r="W73">
        <f t="shared" si="22"/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</row>
    <row r="74" spans="1:32">
      <c r="A74">
        <v>41</v>
      </c>
      <c r="B74">
        <v>7.5799999999999999E-4</v>
      </c>
      <c r="C74">
        <v>6.9342999999999998E-4</v>
      </c>
      <c r="D74">
        <f t="shared" si="13"/>
        <v>6.3188622452914345E-5</v>
      </c>
      <c r="E74">
        <f t="shared" si="13"/>
        <v>5.7804207087785997E-5</v>
      </c>
      <c r="G74">
        <v>41</v>
      </c>
      <c r="H74" s="5">
        <v>6.3166900000000002E-7</v>
      </c>
      <c r="I74" s="5">
        <v>5.7785999999999996E-7</v>
      </c>
      <c r="J74">
        <f t="shared" si="14"/>
        <v>5.2639098524487338E-8</v>
      </c>
      <c r="K74">
        <f t="shared" si="15"/>
        <v>4.815501275512446E-8</v>
      </c>
      <c r="N74">
        <f t="shared" si="27"/>
        <v>71</v>
      </c>
      <c r="O74">
        <f t="shared" si="18"/>
        <v>35</v>
      </c>
      <c r="P74" s="8">
        <f t="shared" si="25"/>
        <v>0</v>
      </c>
      <c r="Q74">
        <f t="shared" si="23"/>
        <v>0</v>
      </c>
      <c r="R74">
        <f t="shared" si="26"/>
        <v>0</v>
      </c>
      <c r="S74">
        <f t="shared" si="24"/>
        <v>0</v>
      </c>
      <c r="T74">
        <f t="shared" si="19"/>
        <v>0</v>
      </c>
      <c r="U74">
        <f t="shared" si="20"/>
        <v>0</v>
      </c>
      <c r="V74">
        <f t="shared" si="21"/>
        <v>0</v>
      </c>
      <c r="W74">
        <f t="shared" si="22"/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</row>
    <row r="75" spans="1:32">
      <c r="A75">
        <v>42</v>
      </c>
      <c r="B75">
        <v>8.3000000000000001E-4</v>
      </c>
      <c r="C75">
        <v>7.6471000000000004E-4</v>
      </c>
      <c r="D75">
        <f t="shared" si="13"/>
        <v>6.919299278063118E-5</v>
      </c>
      <c r="E75">
        <f t="shared" si="13"/>
        <v>6.3748179651823556E-5</v>
      </c>
      <c r="G75">
        <v>42</v>
      </c>
      <c r="H75" s="5">
        <v>6.9166899999999997E-7</v>
      </c>
      <c r="I75" s="5">
        <v>6.37261E-7</v>
      </c>
      <c r="J75">
        <f t="shared" si="14"/>
        <v>5.7639101602724452E-8</v>
      </c>
      <c r="K75">
        <f t="shared" si="15"/>
        <v>5.3105098873906798E-8</v>
      </c>
      <c r="N75">
        <f t="shared" si="27"/>
        <v>72</v>
      </c>
      <c r="O75">
        <f t="shared" si="18"/>
        <v>35</v>
      </c>
      <c r="P75" s="8">
        <f t="shared" si="25"/>
        <v>0</v>
      </c>
      <c r="Q75">
        <f t="shared" si="23"/>
        <v>0</v>
      </c>
      <c r="R75">
        <f t="shared" si="26"/>
        <v>0</v>
      </c>
      <c r="S75">
        <f t="shared" si="24"/>
        <v>0</v>
      </c>
      <c r="T75">
        <f t="shared" si="19"/>
        <v>0</v>
      </c>
      <c r="U75">
        <f t="shared" si="20"/>
        <v>0</v>
      </c>
      <c r="V75">
        <f t="shared" si="21"/>
        <v>0</v>
      </c>
      <c r="W75">
        <f t="shared" si="22"/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</row>
    <row r="76" spans="1:32">
      <c r="A76">
        <v>43</v>
      </c>
      <c r="B76">
        <v>9.0799999999999995E-4</v>
      </c>
      <c r="C76">
        <v>8.3301999999999996E-4</v>
      </c>
      <c r="D76">
        <f t="shared" si="13"/>
        <v>7.5698174890836967E-5</v>
      </c>
      <c r="E76">
        <f t="shared" si="13"/>
        <v>6.9444851425015663E-5</v>
      </c>
      <c r="G76">
        <v>43</v>
      </c>
      <c r="H76" s="5">
        <v>7.5667000000000001E-7</v>
      </c>
      <c r="I76" s="5">
        <v>6.9418599999999999E-7</v>
      </c>
      <c r="J76">
        <f t="shared" si="14"/>
        <v>6.3055855203941746E-8</v>
      </c>
      <c r="K76">
        <f t="shared" si="15"/>
        <v>5.7848851708897087E-8</v>
      </c>
      <c r="N76">
        <f t="shared" si="27"/>
        <v>73</v>
      </c>
      <c r="O76">
        <f t="shared" si="18"/>
        <v>36</v>
      </c>
      <c r="P76" s="8">
        <f t="shared" si="25"/>
        <v>0</v>
      </c>
      <c r="Q76">
        <f t="shared" si="23"/>
        <v>0</v>
      </c>
      <c r="R76">
        <f t="shared" si="26"/>
        <v>0</v>
      </c>
      <c r="S76">
        <f t="shared" si="24"/>
        <v>0</v>
      </c>
      <c r="T76">
        <f t="shared" si="19"/>
        <v>0</v>
      </c>
      <c r="U76">
        <f t="shared" si="20"/>
        <v>0</v>
      </c>
      <c r="V76">
        <f t="shared" si="21"/>
        <v>0</v>
      </c>
      <c r="W76">
        <f t="shared" si="22"/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</row>
    <row r="77" spans="1:32">
      <c r="A77">
        <v>44</v>
      </c>
      <c r="B77">
        <v>9.9200000000000004E-4</v>
      </c>
      <c r="C77">
        <v>8.9924000000000004E-4</v>
      </c>
      <c r="D77">
        <f t="shared" si="13"/>
        <v>8.2704276282763445E-5</v>
      </c>
      <c r="E77">
        <f t="shared" si="13"/>
        <v>7.4967569694384117E-5</v>
      </c>
      <c r="G77">
        <v>44</v>
      </c>
      <c r="H77" s="5">
        <v>8.2666999999999998E-7</v>
      </c>
      <c r="I77" s="5">
        <v>7.4936999999999999E-7</v>
      </c>
      <c r="J77">
        <f t="shared" si="14"/>
        <v>6.8889192794685528E-8</v>
      </c>
      <c r="K77">
        <f t="shared" si="15"/>
        <v>6.244752148720778E-8</v>
      </c>
      <c r="N77">
        <f t="shared" si="27"/>
        <v>74</v>
      </c>
      <c r="O77">
        <f t="shared" si="18"/>
        <v>36</v>
      </c>
      <c r="P77" s="8">
        <f t="shared" si="25"/>
        <v>0</v>
      </c>
      <c r="Q77">
        <f t="shared" si="23"/>
        <v>0</v>
      </c>
      <c r="R77">
        <f t="shared" si="26"/>
        <v>0</v>
      </c>
      <c r="S77">
        <f t="shared" si="24"/>
        <v>0</v>
      </c>
      <c r="T77">
        <f t="shared" si="19"/>
        <v>0</v>
      </c>
      <c r="U77">
        <f t="shared" si="20"/>
        <v>0</v>
      </c>
      <c r="V77">
        <f t="shared" si="21"/>
        <v>0</v>
      </c>
      <c r="W77">
        <f t="shared" si="22"/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</row>
    <row r="78" spans="1:32">
      <c r="A78">
        <v>45</v>
      </c>
      <c r="B78">
        <v>1.083E-3</v>
      </c>
      <c r="C78">
        <v>9.6464999999999995E-4</v>
      </c>
      <c r="D78">
        <f t="shared" si="13"/>
        <v>9.0294828864578847E-5</v>
      </c>
      <c r="E78">
        <f t="shared" si="13"/>
        <v>8.0423063745893586E-5</v>
      </c>
      <c r="G78">
        <v>45</v>
      </c>
      <c r="H78" s="5">
        <v>9.0250400000000005E-7</v>
      </c>
      <c r="I78" s="5">
        <v>8.0387899999999999E-7</v>
      </c>
      <c r="J78">
        <f t="shared" si="14"/>
        <v>7.5208697825068782E-8</v>
      </c>
      <c r="K78">
        <f t="shared" si="15"/>
        <v>6.698994137188663E-8</v>
      </c>
      <c r="N78">
        <f t="shared" si="27"/>
        <v>75</v>
      </c>
      <c r="O78">
        <f t="shared" si="18"/>
        <v>36</v>
      </c>
      <c r="P78" s="8">
        <f t="shared" si="25"/>
        <v>0</v>
      </c>
      <c r="Q78">
        <f t="shared" si="23"/>
        <v>0</v>
      </c>
      <c r="R78">
        <f t="shared" si="26"/>
        <v>0</v>
      </c>
      <c r="S78">
        <f t="shared" si="24"/>
        <v>0</v>
      </c>
      <c r="T78">
        <f t="shared" si="19"/>
        <v>0</v>
      </c>
      <c r="U78">
        <f t="shared" si="20"/>
        <v>0</v>
      </c>
      <c r="V78">
        <f t="shared" si="21"/>
        <v>0</v>
      </c>
      <c r="W78">
        <f t="shared" si="22"/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</row>
    <row r="79" spans="1:32">
      <c r="A79">
        <v>46</v>
      </c>
      <c r="B79">
        <v>1.1820000000000001E-3</v>
      </c>
      <c r="C79">
        <v>1.0327100000000001E-3</v>
      </c>
      <c r="D79">
        <f t="shared" si="13"/>
        <v>9.8553402707257654E-5</v>
      </c>
      <c r="E79">
        <f t="shared" si="13"/>
        <v>8.6099927553595634E-5</v>
      </c>
      <c r="G79">
        <v>46</v>
      </c>
      <c r="H79" s="5">
        <v>9.8500500000000002E-7</v>
      </c>
      <c r="I79" s="5">
        <v>8.6059599999999996E-7</v>
      </c>
      <c r="J79">
        <f t="shared" si="14"/>
        <v>8.20837871007285E-8</v>
      </c>
      <c r="K79">
        <f t="shared" si="15"/>
        <v>7.1716361627061076E-8</v>
      </c>
      <c r="N79">
        <f t="shared" si="27"/>
        <v>76</v>
      </c>
      <c r="O79">
        <f t="shared" si="18"/>
        <v>36</v>
      </c>
      <c r="P79" s="8">
        <f t="shared" si="25"/>
        <v>0</v>
      </c>
      <c r="Q79">
        <f t="shared" si="23"/>
        <v>0</v>
      </c>
      <c r="R79">
        <f t="shared" si="26"/>
        <v>0</v>
      </c>
      <c r="S79">
        <f t="shared" si="24"/>
        <v>0</v>
      </c>
      <c r="T79">
        <f t="shared" si="19"/>
        <v>0</v>
      </c>
      <c r="U79">
        <f t="shared" si="20"/>
        <v>0</v>
      </c>
      <c r="V79">
        <f t="shared" si="21"/>
        <v>0</v>
      </c>
      <c r="W79">
        <f t="shared" si="22"/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</row>
    <row r="80" spans="1:32">
      <c r="A80">
        <v>47</v>
      </c>
      <c r="B80">
        <v>1.2869999999999999E-3</v>
      </c>
      <c r="C80">
        <v>1.1091300000000001E-3</v>
      </c>
      <c r="D80">
        <f t="shared" si="13"/>
        <v>1.0731331616153916E-4</v>
      </c>
      <c r="E80">
        <f t="shared" si="13"/>
        <v>9.2474518956664475E-5</v>
      </c>
      <c r="G80">
        <v>47</v>
      </c>
      <c r="H80" s="5">
        <v>1.07251E-6</v>
      </c>
      <c r="I80" s="5">
        <v>9.2427999999999996E-7</v>
      </c>
      <c r="J80">
        <f t="shared" si="14"/>
        <v>8.9375877254660452E-8</v>
      </c>
      <c r="K80">
        <f t="shared" si="15"/>
        <v>7.702336590753589E-8</v>
      </c>
      <c r="N80">
        <f t="shared" si="27"/>
        <v>77</v>
      </c>
      <c r="O80">
        <f t="shared" si="18"/>
        <v>36</v>
      </c>
      <c r="P80" s="8">
        <f t="shared" si="25"/>
        <v>0</v>
      </c>
      <c r="Q80">
        <f t="shared" si="23"/>
        <v>0</v>
      </c>
      <c r="R80">
        <f t="shared" si="26"/>
        <v>0</v>
      </c>
      <c r="S80">
        <f t="shared" si="24"/>
        <v>0</v>
      </c>
      <c r="T80">
        <f t="shared" si="19"/>
        <v>0</v>
      </c>
      <c r="U80">
        <f t="shared" si="20"/>
        <v>0</v>
      </c>
      <c r="V80">
        <f t="shared" si="21"/>
        <v>0</v>
      </c>
      <c r="W80">
        <f t="shared" si="22"/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</row>
    <row r="81" spans="1:32">
      <c r="A81">
        <v>48</v>
      </c>
      <c r="B81">
        <v>1.4009999999999999E-3</v>
      </c>
      <c r="C81">
        <v>1.1972199999999999E-3</v>
      </c>
      <c r="D81">
        <f t="shared" si="13"/>
        <v>1.1682503526511123E-4</v>
      </c>
      <c r="E81">
        <f t="shared" si="13"/>
        <v>9.9823120706110657E-5</v>
      </c>
      <c r="G81">
        <v>48</v>
      </c>
      <c r="H81" s="5">
        <v>1.1675099999999999E-6</v>
      </c>
      <c r="I81" s="5">
        <v>9.976889999999999E-7</v>
      </c>
      <c r="J81">
        <f t="shared" si="14"/>
        <v>9.7292552014849321E-8</v>
      </c>
      <c r="K81">
        <f t="shared" si="15"/>
        <v>8.3140788031954571E-8</v>
      </c>
      <c r="N81">
        <f t="shared" si="27"/>
        <v>78</v>
      </c>
      <c r="O81">
        <f t="shared" si="18"/>
        <v>36</v>
      </c>
      <c r="P81" s="8">
        <f t="shared" si="25"/>
        <v>0</v>
      </c>
      <c r="Q81">
        <f t="shared" si="23"/>
        <v>0</v>
      </c>
      <c r="R81">
        <f t="shared" si="26"/>
        <v>0</v>
      </c>
      <c r="S81">
        <f t="shared" si="24"/>
        <v>0</v>
      </c>
      <c r="T81">
        <f t="shared" si="19"/>
        <v>0</v>
      </c>
      <c r="U81">
        <f t="shared" si="20"/>
        <v>0</v>
      </c>
      <c r="V81">
        <f t="shared" si="21"/>
        <v>0</v>
      </c>
      <c r="W81">
        <f t="shared" si="22"/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</row>
    <row r="82" spans="1:32">
      <c r="A82">
        <v>49</v>
      </c>
      <c r="B82">
        <v>1.524E-3</v>
      </c>
      <c r="C82">
        <v>1.2998199999999999E-3</v>
      </c>
      <c r="D82">
        <f t="shared" si="13"/>
        <v>1.2708879596956546E-4</v>
      </c>
      <c r="E82">
        <f t="shared" si="13"/>
        <v>1.0838291771042563E-4</v>
      </c>
      <c r="G82">
        <v>49</v>
      </c>
      <c r="H82" s="5">
        <v>1.27001E-6</v>
      </c>
      <c r="I82" s="5">
        <v>1.08319E-6</v>
      </c>
      <c r="J82">
        <f t="shared" si="14"/>
        <v>1.0583422827004085E-7</v>
      </c>
      <c r="K82">
        <f t="shared" si="15"/>
        <v>9.0265878105455499E-8</v>
      </c>
      <c r="N82">
        <f t="shared" si="27"/>
        <v>79</v>
      </c>
      <c r="O82">
        <f t="shared" si="18"/>
        <v>36</v>
      </c>
      <c r="P82" s="8">
        <f t="shared" si="25"/>
        <v>0</v>
      </c>
      <c r="Q82">
        <f t="shared" si="23"/>
        <v>0</v>
      </c>
      <c r="R82">
        <f t="shared" si="26"/>
        <v>0</v>
      </c>
      <c r="S82">
        <f t="shared" si="24"/>
        <v>0</v>
      </c>
      <c r="T82">
        <f t="shared" si="19"/>
        <v>0</v>
      </c>
      <c r="U82">
        <f t="shared" si="20"/>
        <v>0</v>
      </c>
      <c r="V82">
        <f t="shared" si="21"/>
        <v>0</v>
      </c>
      <c r="W82">
        <f t="shared" si="22"/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</row>
    <row r="83" spans="1:32">
      <c r="A83">
        <v>50</v>
      </c>
      <c r="B83">
        <v>1.6570000000000001E-3</v>
      </c>
      <c r="C83">
        <v>1.4215300000000001E-3</v>
      </c>
      <c r="D83">
        <f t="shared" si="13"/>
        <v>1.381883130237016E-4</v>
      </c>
      <c r="E83">
        <f t="shared" si="13"/>
        <v>1.1853808483186512E-4</v>
      </c>
      <c r="G83">
        <v>50</v>
      </c>
      <c r="H83" s="5">
        <v>1.38084E-6</v>
      </c>
      <c r="I83" s="5">
        <v>1.18462E-6</v>
      </c>
      <c r="J83">
        <f t="shared" si="14"/>
        <v>1.1507007280364689E-7</v>
      </c>
      <c r="K83">
        <f t="shared" si="15"/>
        <v>9.8718386909446565E-8</v>
      </c>
      <c r="N83">
        <f t="shared" si="27"/>
        <v>80</v>
      </c>
      <c r="O83">
        <f t="shared" si="18"/>
        <v>36</v>
      </c>
      <c r="P83" s="8">
        <f t="shared" si="25"/>
        <v>0</v>
      </c>
      <c r="Q83">
        <f t="shared" si="23"/>
        <v>0</v>
      </c>
      <c r="R83">
        <f t="shared" si="26"/>
        <v>0</v>
      </c>
      <c r="S83">
        <f t="shared" si="24"/>
        <v>0</v>
      </c>
      <c r="T83">
        <f t="shared" si="19"/>
        <v>0</v>
      </c>
      <c r="U83">
        <f t="shared" si="20"/>
        <v>0</v>
      </c>
      <c r="V83">
        <f t="shared" si="21"/>
        <v>0</v>
      </c>
      <c r="W83">
        <f t="shared" si="22"/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</row>
    <row r="84" spans="1:32">
      <c r="A84">
        <v>51</v>
      </c>
      <c r="B84">
        <v>1.8010000000000001E-3</v>
      </c>
      <c r="C84">
        <v>1.5637299999999999E-3</v>
      </c>
      <c r="D84">
        <f t="shared" si="13"/>
        <v>1.5020736360882303E-4</v>
      </c>
      <c r="E84">
        <f t="shared" si="13"/>
        <v>1.3040432176913974E-4</v>
      </c>
      <c r="G84">
        <v>51</v>
      </c>
      <c r="H84" s="5">
        <v>1.50085E-6</v>
      </c>
      <c r="I84" s="5">
        <v>1.30312E-6</v>
      </c>
      <c r="J84">
        <f t="shared" si="14"/>
        <v>1.2507091939895076E-7</v>
      </c>
      <c r="K84">
        <f t="shared" si="15"/>
        <v>1.0859339816260416E-7</v>
      </c>
      <c r="N84">
        <f t="shared" si="27"/>
        <v>81</v>
      </c>
      <c r="O84">
        <f t="shared" si="18"/>
        <v>36</v>
      </c>
      <c r="P84" s="8">
        <f t="shared" si="25"/>
        <v>0</v>
      </c>
      <c r="Q84">
        <f t="shared" si="23"/>
        <v>0</v>
      </c>
      <c r="R84">
        <f t="shared" si="26"/>
        <v>0</v>
      </c>
      <c r="S84">
        <f t="shared" si="24"/>
        <v>0</v>
      </c>
      <c r="T84">
        <f t="shared" si="19"/>
        <v>0</v>
      </c>
      <c r="U84">
        <f t="shared" si="20"/>
        <v>0</v>
      </c>
      <c r="V84">
        <f t="shared" si="21"/>
        <v>0</v>
      </c>
      <c r="W84">
        <f t="shared" si="22"/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</row>
    <row r="85" spans="1:32">
      <c r="A85">
        <v>52</v>
      </c>
      <c r="B85">
        <v>1.9559999999999998E-3</v>
      </c>
      <c r="C85">
        <v>1.7246099999999999E-3</v>
      </c>
      <c r="D85">
        <f t="shared" si="13"/>
        <v>1.6314631237401844E-4</v>
      </c>
      <c r="E85">
        <f t="shared" si="13"/>
        <v>1.438312262859176E-4</v>
      </c>
      <c r="G85">
        <v>52</v>
      </c>
      <c r="H85" s="5">
        <v>1.6300099999999999E-6</v>
      </c>
      <c r="I85" s="5">
        <v>1.4371899999999999E-6</v>
      </c>
      <c r="J85">
        <f t="shared" si="14"/>
        <v>1.3583426816676791E-7</v>
      </c>
      <c r="K85">
        <f t="shared" si="15"/>
        <v>1.1976591218765265E-7</v>
      </c>
      <c r="N85">
        <f t="shared" si="27"/>
        <v>82</v>
      </c>
      <c r="O85">
        <f t="shared" si="18"/>
        <v>36</v>
      </c>
      <c r="P85" s="8">
        <f t="shared" si="25"/>
        <v>0</v>
      </c>
      <c r="Q85">
        <f t="shared" si="23"/>
        <v>0</v>
      </c>
      <c r="R85">
        <f t="shared" si="26"/>
        <v>0</v>
      </c>
      <c r="S85">
        <f t="shared" si="24"/>
        <v>0</v>
      </c>
      <c r="T85">
        <f t="shared" si="19"/>
        <v>0</v>
      </c>
      <c r="U85">
        <f t="shared" si="20"/>
        <v>0</v>
      </c>
      <c r="V85">
        <f t="shared" si="21"/>
        <v>0</v>
      </c>
      <c r="W85">
        <f t="shared" si="22"/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</row>
    <row r="86" spans="1:32">
      <c r="A86">
        <v>53</v>
      </c>
      <c r="B86">
        <v>2.124E-3</v>
      </c>
      <c r="C86">
        <v>1.90343E-3</v>
      </c>
      <c r="D86">
        <f t="shared" si="13"/>
        <v>1.7717254368676549E-4</v>
      </c>
      <c r="E86">
        <f t="shared" si="13"/>
        <v>1.587577154021913E-4</v>
      </c>
      <c r="G86">
        <v>53</v>
      </c>
      <c r="H86" s="5">
        <v>1.7700199999999999E-6</v>
      </c>
      <c r="I86" s="5">
        <v>1.58621E-6</v>
      </c>
      <c r="J86">
        <f t="shared" si="14"/>
        <v>1.4750178634059807E-7</v>
      </c>
      <c r="K86">
        <f t="shared" si="15"/>
        <v>1.3218426275773965E-7</v>
      </c>
      <c r="N86">
        <f t="shared" si="27"/>
        <v>83</v>
      </c>
      <c r="O86">
        <f t="shared" si="18"/>
        <v>36</v>
      </c>
      <c r="P86" s="8">
        <f t="shared" si="25"/>
        <v>0</v>
      </c>
      <c r="Q86">
        <f t="shared" si="23"/>
        <v>0</v>
      </c>
      <c r="R86">
        <f t="shared" si="26"/>
        <v>0</v>
      </c>
      <c r="S86">
        <f t="shared" si="24"/>
        <v>0</v>
      </c>
      <c r="T86">
        <f t="shared" si="19"/>
        <v>0</v>
      </c>
      <c r="U86">
        <f t="shared" si="20"/>
        <v>0</v>
      </c>
      <c r="V86">
        <f t="shared" si="21"/>
        <v>0</v>
      </c>
      <c r="W86">
        <f t="shared" si="22"/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</row>
    <row r="87" spans="1:32">
      <c r="A87">
        <v>54</v>
      </c>
      <c r="B87">
        <v>2.3059999999999999E-3</v>
      </c>
      <c r="C87">
        <v>2.09816E-3</v>
      </c>
      <c r="D87">
        <f t="shared" si="13"/>
        <v>1.923700705522835E-4</v>
      </c>
      <c r="E87">
        <f t="shared" si="13"/>
        <v>1.750150348681645E-4</v>
      </c>
      <c r="G87">
        <v>54</v>
      </c>
      <c r="H87" s="5">
        <v>1.9216899999999999E-6</v>
      </c>
      <c r="I87" s="5">
        <v>1.7484799999999999E-6</v>
      </c>
      <c r="J87">
        <f t="shared" si="14"/>
        <v>1.6014097437011543E-7</v>
      </c>
      <c r="K87">
        <f t="shared" si="15"/>
        <v>1.4570678341652155E-7</v>
      </c>
      <c r="N87">
        <f t="shared" si="27"/>
        <v>84</v>
      </c>
      <c r="O87">
        <f t="shared" si="18"/>
        <v>36</v>
      </c>
      <c r="P87" s="8">
        <f t="shared" si="25"/>
        <v>0</v>
      </c>
      <c r="Q87">
        <f t="shared" si="23"/>
        <v>0</v>
      </c>
      <c r="R87">
        <f t="shared" si="26"/>
        <v>0</v>
      </c>
      <c r="S87">
        <f t="shared" si="24"/>
        <v>0</v>
      </c>
      <c r="T87">
        <f t="shared" si="19"/>
        <v>0</v>
      </c>
      <c r="U87">
        <f t="shared" si="20"/>
        <v>0</v>
      </c>
      <c r="V87">
        <f t="shared" si="21"/>
        <v>0</v>
      </c>
      <c r="W87">
        <f t="shared" si="22"/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</row>
    <row r="88" spans="1:32">
      <c r="A88">
        <v>55</v>
      </c>
      <c r="B88">
        <v>2.5019999999999999E-3</v>
      </c>
      <c r="C88">
        <v>2.2995400000000001E-3</v>
      </c>
      <c r="D88">
        <f t="shared" si="13"/>
        <v>2.0873948027078093E-4</v>
      </c>
      <c r="E88">
        <f t="shared" si="13"/>
        <v>1.9183059835259364E-4</v>
      </c>
      <c r="G88">
        <v>55</v>
      </c>
      <c r="H88" s="5">
        <v>2.0850200000000001E-6</v>
      </c>
      <c r="I88" s="5">
        <v>1.9163000000000002E-6</v>
      </c>
      <c r="J88">
        <f t="shared" si="14"/>
        <v>1.7375183269940919E-7</v>
      </c>
      <c r="K88">
        <f t="shared" si="15"/>
        <v>1.5969180688912843E-7</v>
      </c>
      <c r="N88">
        <f t="shared" si="27"/>
        <v>85</v>
      </c>
      <c r="O88">
        <f t="shared" si="18"/>
        <v>37</v>
      </c>
      <c r="P88" s="8">
        <f t="shared" si="25"/>
        <v>0</v>
      </c>
      <c r="Q88">
        <f t="shared" si="23"/>
        <v>0</v>
      </c>
      <c r="R88">
        <f t="shared" si="26"/>
        <v>0</v>
      </c>
      <c r="S88">
        <f t="shared" si="24"/>
        <v>0</v>
      </c>
      <c r="T88">
        <f t="shared" si="19"/>
        <v>0</v>
      </c>
      <c r="U88">
        <f t="shared" si="20"/>
        <v>0</v>
      </c>
      <c r="V88">
        <f t="shared" si="21"/>
        <v>0</v>
      </c>
      <c r="W88">
        <f t="shared" si="22"/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</row>
    <row r="89" spans="1:32">
      <c r="A89">
        <v>56</v>
      </c>
      <c r="B89">
        <v>2.7139999999999998E-3</v>
      </c>
      <c r="C89">
        <v>2.5020400000000001E-3</v>
      </c>
      <c r="D89">
        <f t="shared" si="13"/>
        <v>2.2644848793507144E-4</v>
      </c>
      <c r="E89">
        <f t="shared" si="13"/>
        <v>2.0874282126759347E-4</v>
      </c>
      <c r="G89">
        <v>56</v>
      </c>
      <c r="H89" s="5">
        <v>2.26169E-6</v>
      </c>
      <c r="I89" s="5">
        <v>2.0850599999999999E-6</v>
      </c>
      <c r="J89">
        <f t="shared" si="14"/>
        <v>1.8847436200619683E-7</v>
      </c>
      <c r="K89">
        <f t="shared" si="15"/>
        <v>1.7375516603301833E-7</v>
      </c>
      <c r="N89">
        <f t="shared" si="27"/>
        <v>86</v>
      </c>
      <c r="O89">
        <f t="shared" si="18"/>
        <v>37</v>
      </c>
      <c r="P89" s="8">
        <f t="shared" si="25"/>
        <v>0</v>
      </c>
      <c r="Q89">
        <f t="shared" si="23"/>
        <v>0</v>
      </c>
      <c r="R89">
        <f t="shared" si="26"/>
        <v>0</v>
      </c>
      <c r="S89">
        <f t="shared" si="24"/>
        <v>0</v>
      </c>
      <c r="T89">
        <f t="shared" si="19"/>
        <v>0</v>
      </c>
      <c r="U89">
        <f t="shared" si="20"/>
        <v>0</v>
      </c>
      <c r="V89">
        <f t="shared" si="21"/>
        <v>0</v>
      </c>
      <c r="W89">
        <f t="shared" si="22"/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</row>
    <row r="90" spans="1:32">
      <c r="A90">
        <v>57</v>
      </c>
      <c r="B90">
        <v>2.9420000000000002E-3</v>
      </c>
      <c r="C90">
        <v>2.7037699999999999E-3</v>
      </c>
      <c r="D90">
        <f t="shared" si="13"/>
        <v>2.4549787619687624E-4</v>
      </c>
      <c r="E90">
        <f t="shared" si="13"/>
        <v>2.2559386554432681E-4</v>
      </c>
      <c r="G90">
        <v>57</v>
      </c>
      <c r="H90" s="5">
        <v>2.4517000000000002E-6</v>
      </c>
      <c r="I90" s="5">
        <v>2.2531699999999999E-6</v>
      </c>
      <c r="J90">
        <f t="shared" si="14"/>
        <v>2.0430856295661215E-7</v>
      </c>
      <c r="K90">
        <f t="shared" si="15"/>
        <v>1.8776436061518353E-7</v>
      </c>
      <c r="N90">
        <f t="shared" si="27"/>
        <v>87</v>
      </c>
      <c r="O90">
        <f t="shared" si="18"/>
        <v>37</v>
      </c>
      <c r="P90" s="8">
        <f t="shared" si="25"/>
        <v>0</v>
      </c>
      <c r="Q90">
        <f t="shared" si="23"/>
        <v>0</v>
      </c>
      <c r="R90">
        <f t="shared" si="26"/>
        <v>0</v>
      </c>
      <c r="S90">
        <f t="shared" si="24"/>
        <v>0</v>
      </c>
      <c r="T90">
        <f t="shared" si="19"/>
        <v>0</v>
      </c>
      <c r="U90">
        <f t="shared" si="20"/>
        <v>0</v>
      </c>
      <c r="V90">
        <f t="shared" si="21"/>
        <v>0</v>
      </c>
      <c r="W90">
        <f t="shared" si="22"/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</row>
    <row r="91" spans="1:32">
      <c r="A91">
        <v>58</v>
      </c>
      <c r="B91">
        <v>3.1870000000000002E-3</v>
      </c>
      <c r="C91">
        <v>2.9068100000000001E-3</v>
      </c>
      <c r="D91">
        <f t="shared" si="13"/>
        <v>2.6597206486100866E-4</v>
      </c>
      <c r="E91">
        <f t="shared" si="13"/>
        <v>2.4255749293622397E-4</v>
      </c>
      <c r="G91">
        <v>58</v>
      </c>
      <c r="H91" s="5">
        <v>2.6558699999999999E-6</v>
      </c>
      <c r="I91" s="5">
        <v>2.4223699999999999E-6</v>
      </c>
      <c r="J91">
        <f t="shared" si="14"/>
        <v>2.2132276944475393E-7</v>
      </c>
      <c r="K91">
        <f t="shared" si="15"/>
        <v>2.0186439075864371E-7</v>
      </c>
      <c r="N91">
        <f t="shared" si="27"/>
        <v>88</v>
      </c>
      <c r="O91">
        <f t="shared" si="18"/>
        <v>37</v>
      </c>
      <c r="P91" s="8">
        <f t="shared" si="25"/>
        <v>0</v>
      </c>
      <c r="Q91">
        <f t="shared" si="23"/>
        <v>0</v>
      </c>
      <c r="R91">
        <f t="shared" si="26"/>
        <v>0</v>
      </c>
      <c r="S91">
        <f t="shared" si="24"/>
        <v>0</v>
      </c>
      <c r="T91">
        <f t="shared" si="19"/>
        <v>0</v>
      </c>
      <c r="U91">
        <f t="shared" si="20"/>
        <v>0</v>
      </c>
      <c r="V91">
        <f t="shared" si="21"/>
        <v>0</v>
      </c>
      <c r="W91">
        <f t="shared" si="22"/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</row>
    <row r="92" spans="1:32">
      <c r="A92">
        <v>59</v>
      </c>
      <c r="B92">
        <v>3.4529999999999999E-3</v>
      </c>
      <c r="C92">
        <v>3.1165699999999999E-3</v>
      </c>
      <c r="D92">
        <f t="shared" si="13"/>
        <v>2.8820640753124405E-4</v>
      </c>
      <c r="E92">
        <f t="shared" si="13"/>
        <v>2.6008588999515414E-4</v>
      </c>
      <c r="G92">
        <v>59</v>
      </c>
      <c r="H92" s="5">
        <v>2.8775500000000001E-6</v>
      </c>
      <c r="I92" s="5">
        <v>2.5971800000000002E-6</v>
      </c>
      <c r="J92">
        <f t="shared" si="14"/>
        <v>2.3979614960367712E-7</v>
      </c>
      <c r="K92">
        <f t="shared" si="15"/>
        <v>2.1643192427145408E-7</v>
      </c>
      <c r="N92">
        <f t="shared" si="27"/>
        <v>89</v>
      </c>
      <c r="O92">
        <f t="shared" si="18"/>
        <v>37</v>
      </c>
      <c r="P92" s="8">
        <f t="shared" si="25"/>
        <v>0</v>
      </c>
      <c r="Q92">
        <f t="shared" si="23"/>
        <v>0</v>
      </c>
      <c r="R92">
        <f t="shared" si="26"/>
        <v>0</v>
      </c>
      <c r="S92">
        <f t="shared" si="24"/>
        <v>0</v>
      </c>
      <c r="T92">
        <f t="shared" si="19"/>
        <v>0</v>
      </c>
      <c r="U92">
        <f t="shared" si="20"/>
        <v>0</v>
      </c>
      <c r="V92">
        <f t="shared" si="21"/>
        <v>0</v>
      </c>
      <c r="W92">
        <f t="shared" si="22"/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</row>
    <row r="93" spans="1:32">
      <c r="A93">
        <v>60</v>
      </c>
      <c r="B93">
        <v>3.754E-3</v>
      </c>
      <c r="C93">
        <v>3.3314199999999999E-3</v>
      </c>
      <c r="D93">
        <f t="shared" si="13"/>
        <v>3.1337288364363669E-4</v>
      </c>
      <c r="E93">
        <f t="shared" si="13"/>
        <v>2.7804313341783793E-4</v>
      </c>
      <c r="G93">
        <v>60</v>
      </c>
      <c r="H93" s="5">
        <v>3.1283900000000001E-6</v>
      </c>
      <c r="I93" s="5">
        <v>2.7762300000000002E-6</v>
      </c>
      <c r="J93">
        <f t="shared" si="14"/>
        <v>2.6069954051077815E-7</v>
      </c>
      <c r="K93">
        <f t="shared" si="15"/>
        <v>2.3135279436647949E-7</v>
      </c>
      <c r="N93">
        <f t="shared" si="27"/>
        <v>90</v>
      </c>
      <c r="O93">
        <f t="shared" si="18"/>
        <v>37</v>
      </c>
      <c r="P93" s="8">
        <f t="shared" si="25"/>
        <v>0</v>
      </c>
      <c r="Q93">
        <f t="shared" si="23"/>
        <v>0</v>
      </c>
      <c r="R93">
        <f t="shared" si="26"/>
        <v>0</v>
      </c>
      <c r="S93">
        <f t="shared" si="24"/>
        <v>0</v>
      </c>
      <c r="T93">
        <f t="shared" si="19"/>
        <v>0</v>
      </c>
      <c r="U93">
        <f t="shared" si="20"/>
        <v>0</v>
      </c>
      <c r="V93">
        <f t="shared" si="21"/>
        <v>0</v>
      </c>
      <c r="W93">
        <f t="shared" si="22"/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</row>
    <row r="94" spans="1:32">
      <c r="A94">
        <v>61</v>
      </c>
      <c r="B94">
        <v>4.1089999999999998E-3</v>
      </c>
      <c r="C94">
        <v>3.5578900000000002E-3</v>
      </c>
      <c r="D94">
        <f t="shared" si="13"/>
        <v>3.4306323512045545E-4</v>
      </c>
      <c r="E94">
        <f t="shared" si="13"/>
        <v>2.9697542268447563E-4</v>
      </c>
      <c r="G94">
        <v>61</v>
      </c>
      <c r="H94" s="5">
        <v>3.4242300000000002E-6</v>
      </c>
      <c r="I94" s="5">
        <v>2.9649600000000002E-6</v>
      </c>
      <c r="J94">
        <f t="shared" si="14"/>
        <v>2.8535294782638942E-7</v>
      </c>
      <c r="K94">
        <f t="shared" si="15"/>
        <v>2.4708033574682986E-7</v>
      </c>
      <c r="N94">
        <f t="shared" si="27"/>
        <v>91</v>
      </c>
      <c r="O94">
        <f t="shared" si="18"/>
        <v>37</v>
      </c>
      <c r="P94" s="8">
        <f t="shared" si="25"/>
        <v>0</v>
      </c>
      <c r="Q94">
        <f t="shared" si="23"/>
        <v>0</v>
      </c>
      <c r="R94">
        <f t="shared" si="26"/>
        <v>0</v>
      </c>
      <c r="S94">
        <f t="shared" si="24"/>
        <v>0</v>
      </c>
      <c r="T94">
        <f t="shared" si="19"/>
        <v>0</v>
      </c>
      <c r="U94">
        <f t="shared" si="20"/>
        <v>0</v>
      </c>
      <c r="V94">
        <f t="shared" si="21"/>
        <v>0</v>
      </c>
      <c r="W94">
        <f t="shared" si="22"/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</row>
    <row r="95" spans="1:32">
      <c r="A95">
        <v>62</v>
      </c>
      <c r="B95">
        <v>4.5380000000000004E-3</v>
      </c>
      <c r="C95">
        <v>3.8106799999999999E-3</v>
      </c>
      <c r="D95">
        <f t="shared" si="13"/>
        <v>3.7895550983413351E-4</v>
      </c>
      <c r="E95">
        <f t="shared" si="13"/>
        <v>3.1811265303927083E-4</v>
      </c>
      <c r="G95">
        <v>62</v>
      </c>
      <c r="H95" s="5">
        <v>3.7817499999999998E-6</v>
      </c>
      <c r="I95" s="5">
        <v>3.1756199999999998E-6</v>
      </c>
      <c r="J95">
        <f t="shared" si="14"/>
        <v>3.1514637954810354E-7</v>
      </c>
      <c r="K95">
        <f t="shared" si="15"/>
        <v>2.6463538516097174E-7</v>
      </c>
      <c r="N95">
        <f t="shared" si="27"/>
        <v>92</v>
      </c>
      <c r="O95">
        <f t="shared" si="18"/>
        <v>37</v>
      </c>
      <c r="P95" s="8">
        <f t="shared" si="25"/>
        <v>0</v>
      </c>
      <c r="Q95">
        <f t="shared" si="23"/>
        <v>0</v>
      </c>
      <c r="R95">
        <f t="shared" si="26"/>
        <v>0</v>
      </c>
      <c r="S95">
        <f t="shared" si="24"/>
        <v>0</v>
      </c>
      <c r="T95">
        <f t="shared" si="19"/>
        <v>0</v>
      </c>
      <c r="U95">
        <f t="shared" si="20"/>
        <v>0</v>
      </c>
      <c r="V95">
        <f t="shared" si="21"/>
        <v>0</v>
      </c>
      <c r="W95">
        <f t="shared" si="22"/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</row>
    <row r="96" spans="1:32">
      <c r="A96">
        <v>63</v>
      </c>
      <c r="B96">
        <v>5.0600000000000003E-3</v>
      </c>
      <c r="C96">
        <v>4.1042700000000001E-3</v>
      </c>
      <c r="D96">
        <f t="shared" si="13"/>
        <v>4.2264775503786378E-4</v>
      </c>
      <c r="E96">
        <f t="shared" si="13"/>
        <v>3.4266757878376186E-4</v>
      </c>
      <c r="G96">
        <v>63</v>
      </c>
      <c r="H96" s="5">
        <v>4.2167599999999998E-6</v>
      </c>
      <c r="I96" s="5">
        <v>3.4202899999999998E-6</v>
      </c>
      <c r="J96">
        <f t="shared" si="14"/>
        <v>3.5139734577693815E-7</v>
      </c>
      <c r="K96">
        <f t="shared" si="15"/>
        <v>2.8502461346668895E-7</v>
      </c>
      <c r="N96">
        <f t="shared" si="27"/>
        <v>93</v>
      </c>
      <c r="O96">
        <f t="shared" si="18"/>
        <v>37</v>
      </c>
      <c r="P96" s="8">
        <f t="shared" si="25"/>
        <v>0</v>
      </c>
      <c r="Q96">
        <f t="shared" si="23"/>
        <v>0</v>
      </c>
      <c r="R96">
        <f t="shared" si="26"/>
        <v>0</v>
      </c>
      <c r="S96">
        <f t="shared" si="24"/>
        <v>0</v>
      </c>
      <c r="T96">
        <f t="shared" si="19"/>
        <v>0</v>
      </c>
      <c r="U96">
        <f t="shared" si="20"/>
        <v>0</v>
      </c>
      <c r="V96">
        <f t="shared" si="21"/>
        <v>0</v>
      </c>
      <c r="W96">
        <f t="shared" si="22"/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</row>
    <row r="97" spans="1:32">
      <c r="A97">
        <v>64</v>
      </c>
      <c r="B97">
        <v>5.6940000000000003E-3</v>
      </c>
      <c r="C97">
        <v>4.4542999999999996E-3</v>
      </c>
      <c r="D97">
        <f t="shared" si="13"/>
        <v>4.7574284998719296E-4</v>
      </c>
      <c r="E97">
        <f t="shared" si="13"/>
        <v>3.7195163816106103E-4</v>
      </c>
      <c r="G97">
        <v>64</v>
      </c>
      <c r="H97" s="5">
        <v>4.7451200000000002E-6</v>
      </c>
      <c r="I97" s="5">
        <v>3.7119899999999999E-6</v>
      </c>
      <c r="J97">
        <f t="shared" si="14"/>
        <v>3.9542752661159142E-7</v>
      </c>
      <c r="K97">
        <f t="shared" si="15"/>
        <v>3.0933302630486992E-7</v>
      </c>
      <c r="N97">
        <f t="shared" si="27"/>
        <v>94</v>
      </c>
      <c r="O97">
        <f t="shared" si="18"/>
        <v>37</v>
      </c>
      <c r="P97" s="8">
        <f t="shared" si="25"/>
        <v>0</v>
      </c>
      <c r="Q97">
        <f t="shared" si="23"/>
        <v>0</v>
      </c>
      <c r="R97">
        <f t="shared" si="26"/>
        <v>0</v>
      </c>
      <c r="S97">
        <f t="shared" si="24"/>
        <v>0</v>
      </c>
      <c r="T97">
        <f t="shared" si="19"/>
        <v>0</v>
      </c>
      <c r="U97">
        <f t="shared" si="20"/>
        <v>0</v>
      </c>
      <c r="V97">
        <f t="shared" si="21"/>
        <v>0</v>
      </c>
      <c r="W97">
        <f t="shared" si="22"/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</row>
    <row r="98" spans="1:32">
      <c r="A98">
        <v>65</v>
      </c>
      <c r="B98">
        <v>6.4580000000000002E-3</v>
      </c>
      <c r="C98">
        <v>4.8688899999999998E-3</v>
      </c>
      <c r="D98">
        <f t="shared" ref="D98:E133" si="28">1-(1-B98)^(1/12)</f>
        <v>5.3976619859341657E-4</v>
      </c>
      <c r="E98">
        <f t="shared" si="28"/>
        <v>4.0664910083876293E-4</v>
      </c>
      <c r="G98">
        <v>65</v>
      </c>
      <c r="H98" s="5">
        <v>5.3818300000000003E-6</v>
      </c>
      <c r="I98" s="5">
        <v>4.0574999999999997E-6</v>
      </c>
      <c r="J98">
        <f t="shared" ref="J98:J133" si="29">1-(1-H98)^(1/12)</f>
        <v>4.4848693958599029E-7</v>
      </c>
      <c r="K98">
        <f t="shared" ref="K98:K133" si="30">1-(1-I98)^(1/12)</f>
        <v>3.3812562882928887E-7</v>
      </c>
      <c r="N98">
        <f t="shared" si="27"/>
        <v>95</v>
      </c>
      <c r="O98">
        <f t="shared" si="18"/>
        <v>37</v>
      </c>
      <c r="P98" s="8">
        <f t="shared" si="25"/>
        <v>0</v>
      </c>
      <c r="Q98">
        <f t="shared" si="23"/>
        <v>0</v>
      </c>
      <c r="R98">
        <f t="shared" si="26"/>
        <v>0</v>
      </c>
      <c r="S98">
        <f t="shared" si="24"/>
        <v>0</v>
      </c>
      <c r="T98">
        <f t="shared" si="19"/>
        <v>0</v>
      </c>
      <c r="U98">
        <f t="shared" si="20"/>
        <v>0</v>
      </c>
      <c r="V98">
        <f t="shared" si="21"/>
        <v>0</v>
      </c>
      <c r="W98">
        <f t="shared" si="22"/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</row>
    <row r="99" spans="1:32">
      <c r="A99">
        <v>66</v>
      </c>
      <c r="B99">
        <v>7.3730000000000002E-3</v>
      </c>
      <c r="C99">
        <v>5.3567900000000002E-3</v>
      </c>
      <c r="D99">
        <f t="shared" si="28"/>
        <v>6.1650279311120659E-4</v>
      </c>
      <c r="E99">
        <f t="shared" si="28"/>
        <v>4.4749892950135539E-4</v>
      </c>
      <c r="G99">
        <v>66</v>
      </c>
      <c r="H99" s="5">
        <v>6.1443699999999996E-6</v>
      </c>
      <c r="I99" s="5">
        <v>4.4641000000000002E-6</v>
      </c>
      <c r="J99">
        <f t="shared" si="29"/>
        <v>5.1203227535712159E-7</v>
      </c>
      <c r="K99">
        <f t="shared" si="30"/>
        <v>3.7200909452916875E-7</v>
      </c>
      <c r="N99">
        <f t="shared" si="27"/>
        <v>96</v>
      </c>
      <c r="O99">
        <f t="shared" si="18"/>
        <v>37</v>
      </c>
      <c r="P99" s="8">
        <f t="shared" si="25"/>
        <v>0</v>
      </c>
      <c r="Q99">
        <f t="shared" si="23"/>
        <v>0</v>
      </c>
      <c r="R99">
        <f t="shared" si="26"/>
        <v>0</v>
      </c>
      <c r="S99">
        <f t="shared" si="24"/>
        <v>0</v>
      </c>
      <c r="T99">
        <f t="shared" si="19"/>
        <v>0</v>
      </c>
      <c r="U99">
        <f t="shared" si="20"/>
        <v>0</v>
      </c>
      <c r="V99">
        <f t="shared" si="21"/>
        <v>0</v>
      </c>
      <c r="W99">
        <f t="shared" si="22"/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</row>
    <row r="100" spans="1:32">
      <c r="A100">
        <v>67</v>
      </c>
      <c r="B100">
        <v>8.4569999999999992E-3</v>
      </c>
      <c r="C100">
        <v>5.9274499999999999E-3</v>
      </c>
      <c r="D100">
        <f t="shared" si="28"/>
        <v>7.0749655031476788E-4</v>
      </c>
      <c r="E100">
        <f t="shared" si="28"/>
        <v>4.9530121962348961E-4</v>
      </c>
      <c r="G100">
        <v>67</v>
      </c>
      <c r="H100" s="5">
        <v>7.0477700000000001E-6</v>
      </c>
      <c r="I100" s="5">
        <v>4.9396799999999998E-6</v>
      </c>
      <c r="J100">
        <f t="shared" si="29"/>
        <v>5.8731606378259471E-7</v>
      </c>
      <c r="K100">
        <f t="shared" si="30"/>
        <v>4.1164093200762863E-7</v>
      </c>
      <c r="N100">
        <f t="shared" si="27"/>
        <v>97</v>
      </c>
      <c r="O100">
        <f t="shared" si="18"/>
        <v>38</v>
      </c>
      <c r="P100" s="8">
        <f t="shared" si="25"/>
        <v>0</v>
      </c>
      <c r="Q100">
        <f t="shared" ref="Q100:Q133" si="31">_xlfn.IFNA(P99*VLOOKUP(O100,Mortality_Table,IF($B$5="M",4,5),FALSE),0)*(N100&lt;=$B$8)</f>
        <v>0</v>
      </c>
      <c r="R100">
        <f t="shared" si="26"/>
        <v>0</v>
      </c>
      <c r="S100">
        <f t="shared" ref="S100:S133" si="32">_xlfn.IFNA(P99*VLOOKUP(O100,Morbidity_Table,IF($B$5="M",4,5),FALSE),0)*(N100&lt;=$B$8)</f>
        <v>0</v>
      </c>
      <c r="T100">
        <f t="shared" si="19"/>
        <v>0</v>
      </c>
      <c r="U100">
        <f t="shared" si="20"/>
        <v>0</v>
      </c>
      <c r="V100">
        <f t="shared" si="21"/>
        <v>0</v>
      </c>
      <c r="W100">
        <f t="shared" si="22"/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</row>
    <row r="101" spans="1:32">
      <c r="A101">
        <v>68</v>
      </c>
      <c r="B101">
        <v>9.7300000000000008E-3</v>
      </c>
      <c r="C101">
        <v>6.5971099999999998E-3</v>
      </c>
      <c r="D101">
        <f t="shared" si="28"/>
        <v>8.1447195118766746E-4</v>
      </c>
      <c r="E101">
        <f t="shared" si="28"/>
        <v>5.5142850008937927E-4</v>
      </c>
      <c r="G101">
        <v>68</v>
      </c>
      <c r="H101" s="5">
        <v>8.1086900000000001E-6</v>
      </c>
      <c r="I101" s="5">
        <v>5.4977599999999999E-6</v>
      </c>
      <c r="J101">
        <f t="shared" si="29"/>
        <v>6.7572667794557617E-7</v>
      </c>
      <c r="K101">
        <f t="shared" si="30"/>
        <v>4.581478211251877E-7</v>
      </c>
      <c r="N101">
        <f t="shared" si="27"/>
        <v>98</v>
      </c>
      <c r="O101">
        <f t="shared" si="18"/>
        <v>38</v>
      </c>
      <c r="P101" s="8">
        <f t="shared" si="25"/>
        <v>0</v>
      </c>
      <c r="Q101">
        <f t="shared" si="31"/>
        <v>0</v>
      </c>
      <c r="R101">
        <f t="shared" si="26"/>
        <v>0</v>
      </c>
      <c r="S101">
        <f t="shared" si="32"/>
        <v>0</v>
      </c>
      <c r="T101">
        <f t="shared" si="19"/>
        <v>0</v>
      </c>
      <c r="U101">
        <f t="shared" si="20"/>
        <v>0</v>
      </c>
      <c r="V101">
        <f t="shared" si="21"/>
        <v>0</v>
      </c>
      <c r="W101">
        <f t="shared" si="22"/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</row>
    <row r="102" spans="1:32">
      <c r="A102">
        <v>69</v>
      </c>
      <c r="B102">
        <v>1.1209999999999999E-2</v>
      </c>
      <c r="C102">
        <v>7.3811700000000003E-3</v>
      </c>
      <c r="D102">
        <f t="shared" si="28"/>
        <v>9.3900099559596217E-4</v>
      </c>
      <c r="E102">
        <f t="shared" si="28"/>
        <v>6.1718826324697051E-4</v>
      </c>
      <c r="G102">
        <v>69</v>
      </c>
      <c r="H102" s="5">
        <v>9.34215E-6</v>
      </c>
      <c r="I102" s="5">
        <v>6.1511799999999999E-6</v>
      </c>
      <c r="J102">
        <f t="shared" si="29"/>
        <v>7.7851583346610909E-7</v>
      </c>
      <c r="K102">
        <f t="shared" si="30"/>
        <v>5.1259977851270122E-7</v>
      </c>
      <c r="N102">
        <f t="shared" si="27"/>
        <v>99</v>
      </c>
      <c r="O102">
        <f t="shared" si="18"/>
        <v>38</v>
      </c>
      <c r="P102" s="8">
        <f t="shared" si="25"/>
        <v>0</v>
      </c>
      <c r="Q102">
        <f t="shared" si="31"/>
        <v>0</v>
      </c>
      <c r="R102">
        <f t="shared" si="26"/>
        <v>0</v>
      </c>
      <c r="S102">
        <f t="shared" si="32"/>
        <v>0</v>
      </c>
      <c r="T102">
        <f t="shared" si="19"/>
        <v>0</v>
      </c>
      <c r="U102">
        <f t="shared" si="20"/>
        <v>0</v>
      </c>
      <c r="V102">
        <f t="shared" si="21"/>
        <v>0</v>
      </c>
      <c r="W102">
        <f t="shared" si="22"/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</row>
    <row r="103" spans="1:32">
      <c r="A103">
        <v>70</v>
      </c>
      <c r="B103">
        <v>1.2917E-2</v>
      </c>
      <c r="C103">
        <v>8.2479800000000002E-3</v>
      </c>
      <c r="D103">
        <f t="shared" si="28"/>
        <v>1.0828424585775931E-3</v>
      </c>
      <c r="E103">
        <f t="shared" si="28"/>
        <v>6.8994377810371876E-4</v>
      </c>
      <c r="G103">
        <v>70</v>
      </c>
      <c r="H103" s="5">
        <v>1.0764800000000001E-5</v>
      </c>
      <c r="I103" s="5">
        <v>6.87358E-6</v>
      </c>
      <c r="J103">
        <f t="shared" si="29"/>
        <v>8.970710927425074E-7</v>
      </c>
      <c r="K103">
        <f t="shared" si="30"/>
        <v>5.7280013787686102E-7</v>
      </c>
      <c r="N103">
        <f t="shared" si="27"/>
        <v>100</v>
      </c>
      <c r="O103">
        <f t="shared" si="18"/>
        <v>38</v>
      </c>
      <c r="P103" s="8">
        <f t="shared" si="25"/>
        <v>0</v>
      </c>
      <c r="Q103">
        <f t="shared" si="31"/>
        <v>0</v>
      </c>
      <c r="R103">
        <f t="shared" si="26"/>
        <v>0</v>
      </c>
      <c r="S103">
        <f t="shared" si="32"/>
        <v>0</v>
      </c>
      <c r="T103">
        <f t="shared" si="19"/>
        <v>0</v>
      </c>
      <c r="U103">
        <f t="shared" si="20"/>
        <v>0</v>
      </c>
      <c r="V103">
        <f t="shared" si="21"/>
        <v>0</v>
      </c>
      <c r="W103">
        <f t="shared" si="22"/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</row>
    <row r="104" spans="1:32">
      <c r="A104">
        <v>71</v>
      </c>
      <c r="B104">
        <v>1.4593E-2</v>
      </c>
      <c r="C104">
        <v>9.1906100000000001E-3</v>
      </c>
      <c r="D104">
        <f t="shared" si="28"/>
        <v>1.2242937054763869E-3</v>
      </c>
      <c r="E104">
        <f t="shared" si="28"/>
        <v>7.6912942002560492E-4</v>
      </c>
      <c r="G104">
        <v>71</v>
      </c>
      <c r="H104" s="5">
        <v>1.2161600000000001E-5</v>
      </c>
      <c r="I104" s="5">
        <v>7.65916E-6</v>
      </c>
      <c r="J104">
        <f t="shared" si="29"/>
        <v>1.0134723158472525E-6</v>
      </c>
      <c r="K104">
        <f t="shared" si="30"/>
        <v>6.3826557394897065E-7</v>
      </c>
      <c r="N104">
        <f t="shared" si="27"/>
        <v>101</v>
      </c>
      <c r="O104">
        <f t="shared" si="18"/>
        <v>38</v>
      </c>
      <c r="P104" s="8">
        <f t="shared" si="25"/>
        <v>0</v>
      </c>
      <c r="Q104">
        <f t="shared" si="31"/>
        <v>0</v>
      </c>
      <c r="R104">
        <f t="shared" si="26"/>
        <v>0</v>
      </c>
      <c r="S104">
        <f t="shared" si="32"/>
        <v>0</v>
      </c>
      <c r="T104">
        <f t="shared" si="19"/>
        <v>0</v>
      </c>
      <c r="U104">
        <f t="shared" si="20"/>
        <v>0</v>
      </c>
      <c r="V104">
        <f t="shared" si="21"/>
        <v>0</v>
      </c>
      <c r="W104">
        <f t="shared" si="22"/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</row>
    <row r="105" spans="1:32">
      <c r="A105">
        <v>72</v>
      </c>
      <c r="B105">
        <v>1.6486000000000001E-2</v>
      </c>
      <c r="C105">
        <v>1.0226789999999999E-2</v>
      </c>
      <c r="D105">
        <f t="shared" si="28"/>
        <v>1.3843248021238042E-3</v>
      </c>
      <c r="E105">
        <f t="shared" si="28"/>
        <v>8.5625344767226164E-4</v>
      </c>
      <c r="G105">
        <v>72</v>
      </c>
      <c r="H105" s="5">
        <v>1.3739399999999999E-5</v>
      </c>
      <c r="I105" s="5">
        <v>8.5227200000000003E-6</v>
      </c>
      <c r="J105">
        <f t="shared" si="29"/>
        <v>1.1449572100419303E-6</v>
      </c>
      <c r="K105">
        <f t="shared" si="30"/>
        <v>7.1022944103660279E-7</v>
      </c>
      <c r="N105">
        <f t="shared" si="27"/>
        <v>102</v>
      </c>
      <c r="O105">
        <f t="shared" si="18"/>
        <v>38</v>
      </c>
      <c r="P105" s="8">
        <f t="shared" si="25"/>
        <v>0</v>
      </c>
      <c r="Q105">
        <f t="shared" si="31"/>
        <v>0</v>
      </c>
      <c r="R105">
        <f t="shared" si="26"/>
        <v>0</v>
      </c>
      <c r="S105">
        <f t="shared" si="32"/>
        <v>0</v>
      </c>
      <c r="T105">
        <f t="shared" si="19"/>
        <v>0</v>
      </c>
      <c r="U105">
        <f t="shared" si="20"/>
        <v>0</v>
      </c>
      <c r="V105">
        <f t="shared" si="21"/>
        <v>0</v>
      </c>
      <c r="W105">
        <f t="shared" si="22"/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</row>
    <row r="106" spans="1:32">
      <c r="A106">
        <v>73</v>
      </c>
      <c r="B106">
        <v>1.8626E-2</v>
      </c>
      <c r="C106">
        <v>1.1399060000000001E-2</v>
      </c>
      <c r="D106">
        <f t="shared" si="28"/>
        <v>1.5655772402478618E-3</v>
      </c>
      <c r="E106">
        <f t="shared" si="28"/>
        <v>9.5492104494820929E-4</v>
      </c>
      <c r="G106">
        <v>73</v>
      </c>
      <c r="H106" s="5">
        <v>1.5523E-5</v>
      </c>
      <c r="I106" s="5">
        <v>9.4997100000000006E-6</v>
      </c>
      <c r="J106">
        <f t="shared" si="29"/>
        <v>1.2935925368662282E-6</v>
      </c>
      <c r="K106">
        <f t="shared" si="30"/>
        <v>7.9164594690706025E-7</v>
      </c>
      <c r="N106">
        <f t="shared" si="27"/>
        <v>103</v>
      </c>
      <c r="O106">
        <f t="shared" si="18"/>
        <v>38</v>
      </c>
      <c r="P106" s="8">
        <f t="shared" si="25"/>
        <v>0</v>
      </c>
      <c r="Q106">
        <f t="shared" si="31"/>
        <v>0</v>
      </c>
      <c r="R106">
        <f t="shared" si="26"/>
        <v>0</v>
      </c>
      <c r="S106">
        <f t="shared" si="32"/>
        <v>0</v>
      </c>
      <c r="T106">
        <f t="shared" si="19"/>
        <v>0</v>
      </c>
      <c r="U106">
        <f t="shared" si="20"/>
        <v>0</v>
      </c>
      <c r="V106">
        <f t="shared" si="21"/>
        <v>0</v>
      </c>
      <c r="W106">
        <f t="shared" si="22"/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</row>
    <row r="107" spans="1:32">
      <c r="A107">
        <v>74</v>
      </c>
      <c r="B107">
        <v>2.1042000000000002E-2</v>
      </c>
      <c r="C107">
        <v>1.276418E-2</v>
      </c>
      <c r="D107">
        <f t="shared" si="28"/>
        <v>1.770642084686691E-3</v>
      </c>
      <c r="E107">
        <f t="shared" si="28"/>
        <v>1.0699556928190912E-3</v>
      </c>
      <c r="G107">
        <v>74</v>
      </c>
      <c r="H107" s="5">
        <v>1.7536700000000001E-5</v>
      </c>
      <c r="I107" s="5">
        <v>1.0637399999999999E-5</v>
      </c>
      <c r="J107">
        <f t="shared" si="29"/>
        <v>1.4614034129500908E-6</v>
      </c>
      <c r="K107">
        <f t="shared" si="30"/>
        <v>8.8645432183565021E-7</v>
      </c>
      <c r="N107">
        <f t="shared" si="27"/>
        <v>104</v>
      </c>
      <c r="O107">
        <f t="shared" si="18"/>
        <v>38</v>
      </c>
      <c r="P107" s="8">
        <f t="shared" si="25"/>
        <v>0</v>
      </c>
      <c r="Q107">
        <f t="shared" si="31"/>
        <v>0</v>
      </c>
      <c r="R107">
        <f t="shared" si="26"/>
        <v>0</v>
      </c>
      <c r="S107">
        <f t="shared" si="32"/>
        <v>0</v>
      </c>
      <c r="T107">
        <f t="shared" si="19"/>
        <v>0</v>
      </c>
      <c r="U107">
        <f t="shared" si="20"/>
        <v>0</v>
      </c>
      <c r="V107">
        <f t="shared" si="21"/>
        <v>0</v>
      </c>
      <c r="W107">
        <f t="shared" si="22"/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</row>
    <row r="108" spans="1:32">
      <c r="A108">
        <v>75</v>
      </c>
      <c r="B108">
        <v>2.3772999999999999E-2</v>
      </c>
      <c r="C108">
        <v>1.4387840000000001E-2</v>
      </c>
      <c r="D108">
        <f t="shared" si="28"/>
        <v>2.0030027776121173E-3</v>
      </c>
      <c r="E108">
        <f t="shared" si="28"/>
        <v>1.2069667470685497E-3</v>
      </c>
      <c r="G108">
        <v>75</v>
      </c>
      <c r="H108" s="5">
        <v>1.9813000000000002E-5</v>
      </c>
      <c r="I108" s="5">
        <v>1.19907E-5</v>
      </c>
      <c r="J108">
        <f t="shared" si="29"/>
        <v>1.6510983269490964E-6</v>
      </c>
      <c r="K108">
        <f t="shared" si="30"/>
        <v>9.9923049157180088E-7</v>
      </c>
      <c r="N108">
        <f t="shared" si="27"/>
        <v>105</v>
      </c>
      <c r="O108">
        <f t="shared" si="18"/>
        <v>38</v>
      </c>
      <c r="P108" s="8">
        <f t="shared" si="25"/>
        <v>0</v>
      </c>
      <c r="Q108">
        <f t="shared" si="31"/>
        <v>0</v>
      </c>
      <c r="R108">
        <f t="shared" si="26"/>
        <v>0</v>
      </c>
      <c r="S108">
        <f t="shared" si="32"/>
        <v>0</v>
      </c>
      <c r="T108">
        <f t="shared" si="19"/>
        <v>0</v>
      </c>
      <c r="U108">
        <f t="shared" si="20"/>
        <v>0</v>
      </c>
      <c r="V108">
        <f t="shared" si="21"/>
        <v>0</v>
      </c>
      <c r="W108">
        <f t="shared" si="22"/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</row>
    <row r="109" spans="1:32">
      <c r="A109">
        <v>76</v>
      </c>
      <c r="B109">
        <v>2.6856999999999999E-2</v>
      </c>
      <c r="C109">
        <v>1.632948E-2</v>
      </c>
      <c r="D109">
        <f t="shared" si="28"/>
        <v>2.26611509679564E-3</v>
      </c>
      <c r="E109">
        <f t="shared" si="28"/>
        <v>1.3710821567263221E-3</v>
      </c>
      <c r="G109">
        <v>76</v>
      </c>
      <c r="H109" s="5">
        <v>2.23836E-5</v>
      </c>
      <c r="I109" s="5">
        <v>1.3608899999999999E-5</v>
      </c>
      <c r="J109">
        <f t="shared" si="29"/>
        <v>1.8653191367068445E-6</v>
      </c>
      <c r="K109">
        <f t="shared" si="30"/>
        <v>1.1340820738059421E-6</v>
      </c>
      <c r="N109">
        <f t="shared" si="27"/>
        <v>106</v>
      </c>
      <c r="O109">
        <f t="shared" si="18"/>
        <v>38</v>
      </c>
      <c r="P109" s="8">
        <f t="shared" si="25"/>
        <v>0</v>
      </c>
      <c r="Q109">
        <f t="shared" si="31"/>
        <v>0</v>
      </c>
      <c r="R109">
        <f t="shared" si="26"/>
        <v>0</v>
      </c>
      <c r="S109">
        <f t="shared" si="32"/>
        <v>0</v>
      </c>
      <c r="T109">
        <f t="shared" si="19"/>
        <v>0</v>
      </c>
      <c r="U109">
        <f t="shared" si="20"/>
        <v>0</v>
      </c>
      <c r="V109">
        <f t="shared" si="21"/>
        <v>0</v>
      </c>
      <c r="W109">
        <f t="shared" si="22"/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</row>
    <row r="110" spans="1:32">
      <c r="A110">
        <v>77</v>
      </c>
      <c r="B110">
        <v>3.0342000000000001E-2</v>
      </c>
      <c r="C110">
        <v>1.8636429999999999E-2</v>
      </c>
      <c r="D110">
        <f t="shared" si="28"/>
        <v>2.5643603107599056E-3</v>
      </c>
      <c r="E110">
        <f t="shared" si="28"/>
        <v>1.5664615210075894E-3</v>
      </c>
      <c r="G110">
        <v>77</v>
      </c>
      <c r="H110" s="5">
        <v>2.52885E-5</v>
      </c>
      <c r="I110" s="5">
        <v>1.5531699999999999E-5</v>
      </c>
      <c r="J110">
        <f t="shared" si="29"/>
        <v>2.1073994260767392E-6</v>
      </c>
      <c r="K110">
        <f t="shared" si="30"/>
        <v>1.2943175472512891E-6</v>
      </c>
      <c r="N110">
        <f t="shared" si="27"/>
        <v>107</v>
      </c>
      <c r="O110">
        <f t="shared" si="18"/>
        <v>38</v>
      </c>
      <c r="P110" s="8">
        <f t="shared" si="25"/>
        <v>0</v>
      </c>
      <c r="Q110">
        <f t="shared" si="31"/>
        <v>0</v>
      </c>
      <c r="R110">
        <f t="shared" si="26"/>
        <v>0</v>
      </c>
      <c r="S110">
        <f t="shared" si="32"/>
        <v>0</v>
      </c>
      <c r="T110">
        <f t="shared" si="19"/>
        <v>0</v>
      </c>
      <c r="U110">
        <f t="shared" si="20"/>
        <v>0</v>
      </c>
      <c r="V110">
        <f t="shared" si="21"/>
        <v>0</v>
      </c>
      <c r="W110">
        <f t="shared" si="22"/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</row>
    <row r="111" spans="1:32">
      <c r="A111">
        <v>78</v>
      </c>
      <c r="B111">
        <v>3.4278999999999997E-2</v>
      </c>
      <c r="C111">
        <v>2.1351189999999999E-2</v>
      </c>
      <c r="D111">
        <f t="shared" si="28"/>
        <v>2.902471857126887E-3</v>
      </c>
      <c r="E111">
        <f t="shared" si="28"/>
        <v>1.7969189374469341E-3</v>
      </c>
      <c r="G111">
        <v>78</v>
      </c>
      <c r="H111" s="5">
        <v>2.85703E-5</v>
      </c>
      <c r="I111" s="5">
        <v>1.77944E-5</v>
      </c>
      <c r="J111">
        <f t="shared" si="29"/>
        <v>2.3808895105448258E-6</v>
      </c>
      <c r="K111">
        <f t="shared" si="30"/>
        <v>1.4828787606724347E-6</v>
      </c>
      <c r="N111">
        <f t="shared" si="27"/>
        <v>108</v>
      </c>
      <c r="O111">
        <f t="shared" si="18"/>
        <v>38</v>
      </c>
      <c r="P111" s="8">
        <f t="shared" si="25"/>
        <v>0</v>
      </c>
      <c r="Q111">
        <f t="shared" si="31"/>
        <v>0</v>
      </c>
      <c r="R111">
        <f t="shared" si="26"/>
        <v>0</v>
      </c>
      <c r="S111">
        <f t="shared" si="32"/>
        <v>0</v>
      </c>
      <c r="T111">
        <f t="shared" si="19"/>
        <v>0</v>
      </c>
      <c r="U111">
        <f t="shared" si="20"/>
        <v>0</v>
      </c>
      <c r="V111">
        <f t="shared" si="21"/>
        <v>0</v>
      </c>
      <c r="W111">
        <f t="shared" si="22"/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</row>
    <row r="112" spans="1:32">
      <c r="A112">
        <v>79</v>
      </c>
      <c r="B112">
        <v>3.8726999999999998E-2</v>
      </c>
      <c r="C112">
        <v>2.4498329999999999E-2</v>
      </c>
      <c r="D112">
        <f t="shared" si="28"/>
        <v>3.2859918782303099E-3</v>
      </c>
      <c r="E112">
        <f t="shared" si="28"/>
        <v>2.0648159101404051E-3</v>
      </c>
      <c r="G112">
        <v>79</v>
      </c>
      <c r="H112" s="5">
        <v>3.2278199999999999E-5</v>
      </c>
      <c r="I112" s="5">
        <v>2.0417599999999999E-5</v>
      </c>
      <c r="J112">
        <f t="shared" si="29"/>
        <v>2.6898897949045875E-6</v>
      </c>
      <c r="K112">
        <f t="shared" si="30"/>
        <v>1.701482589266945E-6</v>
      </c>
      <c r="N112">
        <f t="shared" si="27"/>
        <v>109</v>
      </c>
      <c r="O112">
        <f t="shared" si="18"/>
        <v>39</v>
      </c>
      <c r="P112" s="8">
        <f t="shared" si="25"/>
        <v>0</v>
      </c>
      <c r="Q112">
        <f t="shared" si="31"/>
        <v>0</v>
      </c>
      <c r="R112">
        <f t="shared" si="26"/>
        <v>0</v>
      </c>
      <c r="S112">
        <f t="shared" si="32"/>
        <v>0</v>
      </c>
      <c r="T112">
        <f t="shared" si="19"/>
        <v>0</v>
      </c>
      <c r="U112">
        <f t="shared" si="20"/>
        <v>0</v>
      </c>
      <c r="V112">
        <f t="shared" si="21"/>
        <v>0</v>
      </c>
      <c r="W112">
        <f t="shared" si="22"/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</row>
    <row r="113" spans="1:32">
      <c r="A113">
        <v>80</v>
      </c>
      <c r="B113">
        <v>4.3751999999999999E-2</v>
      </c>
      <c r="C113">
        <v>2.8090650000000002E-2</v>
      </c>
      <c r="D113">
        <f t="shared" si="28"/>
        <v>3.7212244651627646E-3</v>
      </c>
      <c r="E113">
        <f t="shared" si="28"/>
        <v>2.371578369512517E-3</v>
      </c>
      <c r="G113">
        <v>80</v>
      </c>
      <c r="H113" s="5">
        <v>3.6467300000000002E-5</v>
      </c>
      <c r="I113" s="5">
        <v>2.3411899999999999E-5</v>
      </c>
      <c r="J113">
        <f t="shared" si="29"/>
        <v>3.0389924612350683E-6</v>
      </c>
      <c r="K113">
        <f t="shared" si="30"/>
        <v>1.9510126020305663E-6</v>
      </c>
      <c r="N113">
        <f t="shared" si="27"/>
        <v>110</v>
      </c>
      <c r="O113">
        <f t="shared" si="18"/>
        <v>39</v>
      </c>
      <c r="P113" s="8">
        <f t="shared" si="25"/>
        <v>0</v>
      </c>
      <c r="Q113">
        <f t="shared" si="31"/>
        <v>0</v>
      </c>
      <c r="R113">
        <f t="shared" si="26"/>
        <v>0</v>
      </c>
      <c r="S113">
        <f t="shared" si="32"/>
        <v>0</v>
      </c>
      <c r="T113">
        <f t="shared" si="19"/>
        <v>0</v>
      </c>
      <c r="U113">
        <f t="shared" si="20"/>
        <v>0</v>
      </c>
      <c r="V113">
        <f t="shared" si="21"/>
        <v>0</v>
      </c>
      <c r="W113">
        <f t="shared" si="22"/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</row>
    <row r="114" spans="1:32">
      <c r="A114">
        <v>81</v>
      </c>
      <c r="B114">
        <v>4.9429000000000001E-2</v>
      </c>
      <c r="C114">
        <v>3.2132290000000001E-2</v>
      </c>
      <c r="D114">
        <f t="shared" si="28"/>
        <v>4.2154584325121425E-3</v>
      </c>
      <c r="E114">
        <f t="shared" si="28"/>
        <v>2.7179550095102201E-3</v>
      </c>
      <c r="G114">
        <v>81</v>
      </c>
      <c r="H114" s="5">
        <v>4.1200199999999999E-5</v>
      </c>
      <c r="I114" s="5">
        <v>2.67809E-5</v>
      </c>
      <c r="J114">
        <f t="shared" si="29"/>
        <v>3.4334148351078397E-6</v>
      </c>
      <c r="K114">
        <f t="shared" si="30"/>
        <v>2.23176906077871E-6</v>
      </c>
      <c r="N114">
        <f t="shared" si="27"/>
        <v>111</v>
      </c>
      <c r="O114">
        <f t="shared" si="18"/>
        <v>39</v>
      </c>
      <c r="P114" s="8">
        <f t="shared" si="25"/>
        <v>0</v>
      </c>
      <c r="Q114">
        <f t="shared" si="31"/>
        <v>0</v>
      </c>
      <c r="R114">
        <f t="shared" si="26"/>
        <v>0</v>
      </c>
      <c r="S114">
        <f t="shared" si="32"/>
        <v>0</v>
      </c>
      <c r="T114">
        <f t="shared" si="19"/>
        <v>0</v>
      </c>
      <c r="U114">
        <f t="shared" si="20"/>
        <v>0</v>
      </c>
      <c r="V114">
        <f t="shared" si="21"/>
        <v>0</v>
      </c>
      <c r="W114">
        <f t="shared" si="22"/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</row>
    <row r="115" spans="1:32">
      <c r="A115">
        <v>82</v>
      </c>
      <c r="B115">
        <v>5.5842999999999997E-2</v>
      </c>
      <c r="C115">
        <v>3.6620489999999999E-2</v>
      </c>
      <c r="D115">
        <f t="shared" si="28"/>
        <v>4.7771208469595816E-3</v>
      </c>
      <c r="E115">
        <f t="shared" si="28"/>
        <v>3.1041598884369304E-3</v>
      </c>
      <c r="G115">
        <v>82</v>
      </c>
      <c r="H115" s="5">
        <v>4.6547700000000002E-5</v>
      </c>
      <c r="I115" s="5">
        <v>3.0522199999999997E-5</v>
      </c>
      <c r="J115">
        <f t="shared" si="29"/>
        <v>3.8790577578939889E-6</v>
      </c>
      <c r="K115">
        <f t="shared" si="30"/>
        <v>2.5435522494898777E-6</v>
      </c>
      <c r="N115">
        <f t="shared" si="27"/>
        <v>112</v>
      </c>
      <c r="O115">
        <f t="shared" si="18"/>
        <v>39</v>
      </c>
      <c r="P115" s="8">
        <f t="shared" si="25"/>
        <v>0</v>
      </c>
      <c r="Q115">
        <f t="shared" si="31"/>
        <v>0</v>
      </c>
      <c r="R115">
        <f t="shared" si="26"/>
        <v>0</v>
      </c>
      <c r="S115">
        <f t="shared" si="32"/>
        <v>0</v>
      </c>
      <c r="T115">
        <f t="shared" si="19"/>
        <v>0</v>
      </c>
      <c r="U115">
        <f t="shared" si="20"/>
        <v>0</v>
      </c>
      <c r="V115">
        <f t="shared" si="21"/>
        <v>0</v>
      </c>
      <c r="W115">
        <f t="shared" si="22"/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</row>
    <row r="116" spans="1:32">
      <c r="A116">
        <v>83</v>
      </c>
      <c r="B116">
        <v>6.3089000000000006E-2</v>
      </c>
      <c r="C116">
        <v>4.1549019999999999E-2</v>
      </c>
      <c r="D116">
        <f t="shared" si="28"/>
        <v>5.4158631490942577E-3</v>
      </c>
      <c r="E116">
        <f t="shared" si="28"/>
        <v>3.530159302259972E-3</v>
      </c>
      <c r="G116">
        <v>83</v>
      </c>
      <c r="H116" s="5">
        <v>5.2589400000000002E-5</v>
      </c>
      <c r="I116" s="5">
        <v>3.4630800000000001E-5</v>
      </c>
      <c r="J116">
        <f t="shared" si="29"/>
        <v>4.382555635840113E-6</v>
      </c>
      <c r="K116">
        <f t="shared" si="30"/>
        <v>2.8859458073293709E-6</v>
      </c>
      <c r="N116">
        <f t="shared" si="27"/>
        <v>113</v>
      </c>
      <c r="O116">
        <f t="shared" si="18"/>
        <v>39</v>
      </c>
      <c r="P116" s="8">
        <f t="shared" si="25"/>
        <v>0</v>
      </c>
      <c r="Q116">
        <f t="shared" si="31"/>
        <v>0</v>
      </c>
      <c r="R116">
        <f t="shared" si="26"/>
        <v>0</v>
      </c>
      <c r="S116">
        <f t="shared" si="32"/>
        <v>0</v>
      </c>
      <c r="T116">
        <f t="shared" si="19"/>
        <v>0</v>
      </c>
      <c r="U116">
        <f t="shared" si="20"/>
        <v>0</v>
      </c>
      <c r="V116">
        <f t="shared" si="21"/>
        <v>0</v>
      </c>
      <c r="W116">
        <f t="shared" si="22"/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</row>
    <row r="117" spans="1:32">
      <c r="A117">
        <v>84</v>
      </c>
      <c r="B117">
        <v>7.1275000000000005E-2</v>
      </c>
      <c r="C117">
        <v>4.6911099999999997E-2</v>
      </c>
      <c r="D117">
        <f t="shared" si="28"/>
        <v>6.1429379639094117E-3</v>
      </c>
      <c r="E117">
        <f t="shared" si="28"/>
        <v>3.9959195907125489E-3</v>
      </c>
      <c r="G117">
        <v>84</v>
      </c>
      <c r="H117" s="5">
        <v>5.94152E-5</v>
      </c>
      <c r="I117" s="5">
        <v>3.9100999999999997E-5</v>
      </c>
      <c r="J117">
        <f t="shared" si="29"/>
        <v>4.9514015044715975E-6</v>
      </c>
      <c r="K117">
        <f t="shared" si="30"/>
        <v>3.2584750632169701E-6</v>
      </c>
      <c r="N117">
        <f t="shared" si="27"/>
        <v>114</v>
      </c>
      <c r="O117">
        <f t="shared" si="18"/>
        <v>39</v>
      </c>
      <c r="P117" s="8">
        <f t="shared" si="25"/>
        <v>0</v>
      </c>
      <c r="Q117">
        <f t="shared" si="31"/>
        <v>0</v>
      </c>
      <c r="R117">
        <f t="shared" si="26"/>
        <v>0</v>
      </c>
      <c r="S117">
        <f t="shared" si="32"/>
        <v>0</v>
      </c>
      <c r="T117">
        <f t="shared" si="19"/>
        <v>0</v>
      </c>
      <c r="U117">
        <f t="shared" si="20"/>
        <v>0</v>
      </c>
      <c r="V117">
        <f t="shared" si="21"/>
        <v>0</v>
      </c>
      <c r="W117">
        <f t="shared" si="22"/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</row>
    <row r="118" spans="1:32">
      <c r="A118">
        <v>85</v>
      </c>
      <c r="B118">
        <v>8.0522999999999997E-2</v>
      </c>
      <c r="C118">
        <v>5.2877529999999999E-2</v>
      </c>
      <c r="D118">
        <f t="shared" si="28"/>
        <v>6.9714400488114503E-3</v>
      </c>
      <c r="E118">
        <f t="shared" si="28"/>
        <v>4.5170066649283802E-3</v>
      </c>
      <c r="G118">
        <v>85</v>
      </c>
      <c r="H118" s="5">
        <v>6.7127300000000004E-5</v>
      </c>
      <c r="I118" s="5">
        <v>4.4075300000000001E-5</v>
      </c>
      <c r="J118">
        <f t="shared" si="29"/>
        <v>5.5941137810933128E-6</v>
      </c>
      <c r="K118">
        <f t="shared" si="30"/>
        <v>3.6730158664566304E-6</v>
      </c>
      <c r="N118">
        <f t="shared" si="27"/>
        <v>115</v>
      </c>
      <c r="O118">
        <f t="shared" si="18"/>
        <v>39</v>
      </c>
      <c r="P118" s="8">
        <f t="shared" si="25"/>
        <v>0</v>
      </c>
      <c r="Q118">
        <f t="shared" si="31"/>
        <v>0</v>
      </c>
      <c r="R118">
        <f t="shared" si="26"/>
        <v>0</v>
      </c>
      <c r="S118">
        <f t="shared" si="32"/>
        <v>0</v>
      </c>
      <c r="T118">
        <f t="shared" si="19"/>
        <v>0</v>
      </c>
      <c r="U118">
        <f t="shared" si="20"/>
        <v>0</v>
      </c>
      <c r="V118">
        <f t="shared" si="21"/>
        <v>0</v>
      </c>
      <c r="W118">
        <f t="shared" si="22"/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</row>
    <row r="119" spans="1:32">
      <c r="A119">
        <v>86</v>
      </c>
      <c r="B119">
        <v>9.0970999999999996E-2</v>
      </c>
      <c r="C119">
        <v>5.9502310000000003E-2</v>
      </c>
      <c r="D119">
        <f t="shared" si="28"/>
        <v>7.9166868335004414E-3</v>
      </c>
      <c r="E119">
        <f t="shared" si="28"/>
        <v>5.0991289433233167E-3</v>
      </c>
      <c r="G119">
        <v>86</v>
      </c>
      <c r="H119" s="5">
        <v>7.5840799999999994E-5</v>
      </c>
      <c r="I119" s="5">
        <v>4.9598799999999997E-5</v>
      </c>
      <c r="J119">
        <f t="shared" si="29"/>
        <v>6.3202863651579122E-6</v>
      </c>
      <c r="K119">
        <f t="shared" si="30"/>
        <v>4.1333272962074119E-6</v>
      </c>
      <c r="N119">
        <f t="shared" si="27"/>
        <v>116</v>
      </c>
      <c r="O119">
        <f t="shared" si="18"/>
        <v>39</v>
      </c>
      <c r="P119" s="8">
        <f t="shared" si="25"/>
        <v>0</v>
      </c>
      <c r="Q119">
        <f t="shared" si="31"/>
        <v>0</v>
      </c>
      <c r="R119">
        <f t="shared" si="26"/>
        <v>0</v>
      </c>
      <c r="S119">
        <f t="shared" si="32"/>
        <v>0</v>
      </c>
      <c r="T119">
        <f t="shared" si="19"/>
        <v>0</v>
      </c>
      <c r="U119">
        <f t="shared" si="20"/>
        <v>0</v>
      </c>
      <c r="V119">
        <f t="shared" si="21"/>
        <v>0</v>
      </c>
      <c r="W119">
        <f t="shared" si="22"/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</row>
    <row r="120" spans="1:32">
      <c r="A120">
        <v>87</v>
      </c>
      <c r="B120">
        <v>0.10277500000000001</v>
      </c>
      <c r="C120">
        <v>6.6842009999999993E-2</v>
      </c>
      <c r="D120">
        <f t="shared" si="28"/>
        <v>8.9966699396875072E-3</v>
      </c>
      <c r="E120">
        <f t="shared" si="28"/>
        <v>5.7484769952020898E-3</v>
      </c>
      <c r="G120">
        <v>87</v>
      </c>
      <c r="H120" s="5">
        <v>8.5686200000000006E-5</v>
      </c>
      <c r="I120" s="5">
        <v>5.5718699999999999E-5</v>
      </c>
      <c r="J120">
        <f t="shared" si="29"/>
        <v>7.1407971103942813E-6</v>
      </c>
      <c r="K120">
        <f t="shared" si="30"/>
        <v>4.6433435816339852E-6</v>
      </c>
      <c r="N120">
        <f t="shared" si="27"/>
        <v>117</v>
      </c>
      <c r="O120">
        <f t="shared" si="18"/>
        <v>39</v>
      </c>
      <c r="P120" s="8">
        <f t="shared" si="25"/>
        <v>0</v>
      </c>
      <c r="Q120">
        <f t="shared" si="31"/>
        <v>0</v>
      </c>
      <c r="R120">
        <f t="shared" si="26"/>
        <v>0</v>
      </c>
      <c r="S120">
        <f t="shared" si="32"/>
        <v>0</v>
      </c>
      <c r="T120">
        <f t="shared" si="19"/>
        <v>0</v>
      </c>
      <c r="U120">
        <f t="shared" si="20"/>
        <v>0</v>
      </c>
      <c r="V120">
        <f t="shared" si="21"/>
        <v>0</v>
      </c>
      <c r="W120">
        <f t="shared" si="22"/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</row>
    <row r="121" spans="1:32">
      <c r="A121">
        <v>88</v>
      </c>
      <c r="B121">
        <v>0.11611</v>
      </c>
      <c r="C121">
        <v>7.495541E-2</v>
      </c>
      <c r="D121">
        <f t="shared" si="28"/>
        <v>1.0232509521674649E-2</v>
      </c>
      <c r="E121">
        <f t="shared" si="28"/>
        <v>6.4717455629257348E-3</v>
      </c>
      <c r="G121">
        <v>88</v>
      </c>
      <c r="H121" s="5">
        <v>9.6809899999999996E-5</v>
      </c>
      <c r="I121" s="5">
        <v>6.2484300000000001E-5</v>
      </c>
      <c r="J121">
        <f t="shared" si="29"/>
        <v>8.0678496531261246E-6</v>
      </c>
      <c r="K121">
        <f t="shared" si="30"/>
        <v>5.2071741281078943E-6</v>
      </c>
      <c r="N121">
        <f t="shared" si="27"/>
        <v>118</v>
      </c>
      <c r="O121">
        <f t="shared" si="18"/>
        <v>39</v>
      </c>
      <c r="P121" s="8">
        <f t="shared" si="25"/>
        <v>0</v>
      </c>
      <c r="Q121">
        <f t="shared" si="31"/>
        <v>0</v>
      </c>
      <c r="R121">
        <f t="shared" si="26"/>
        <v>0</v>
      </c>
      <c r="S121">
        <f t="shared" si="32"/>
        <v>0</v>
      </c>
      <c r="T121">
        <f t="shared" si="19"/>
        <v>0</v>
      </c>
      <c r="U121">
        <f t="shared" si="20"/>
        <v>0</v>
      </c>
      <c r="V121">
        <f t="shared" si="21"/>
        <v>0</v>
      </c>
      <c r="W121">
        <f t="shared" si="22"/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</row>
    <row r="122" spans="1:32">
      <c r="A122">
        <v>89</v>
      </c>
      <c r="B122">
        <v>0.13117599999999999</v>
      </c>
      <c r="C122">
        <v>8.3903160000000004E-2</v>
      </c>
      <c r="D122">
        <f t="shared" si="28"/>
        <v>1.164950503619222E-2</v>
      </c>
      <c r="E122">
        <f t="shared" si="28"/>
        <v>7.2761662058008492E-3</v>
      </c>
      <c r="G122">
        <v>89</v>
      </c>
      <c r="H122">
        <v>1.09379E-4</v>
      </c>
      <c r="I122" s="5">
        <v>6.9946199999999998E-5</v>
      </c>
      <c r="J122">
        <f t="shared" si="29"/>
        <v>9.1153736480054093E-6</v>
      </c>
      <c r="K122">
        <f t="shared" si="30"/>
        <v>5.8290368735169906E-6</v>
      </c>
      <c r="N122">
        <f t="shared" si="27"/>
        <v>119</v>
      </c>
      <c r="O122">
        <f t="shared" si="18"/>
        <v>39</v>
      </c>
      <c r="P122" s="8">
        <f t="shared" si="25"/>
        <v>0</v>
      </c>
      <c r="Q122">
        <f t="shared" si="31"/>
        <v>0</v>
      </c>
      <c r="R122">
        <f t="shared" si="26"/>
        <v>0</v>
      </c>
      <c r="S122">
        <f t="shared" si="32"/>
        <v>0</v>
      </c>
      <c r="T122">
        <f t="shared" si="19"/>
        <v>0</v>
      </c>
      <c r="U122">
        <f t="shared" si="20"/>
        <v>0</v>
      </c>
      <c r="V122">
        <f t="shared" si="21"/>
        <v>0</v>
      </c>
      <c r="W122">
        <f t="shared" si="22"/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</row>
    <row r="123" spans="1:32">
      <c r="A123">
        <v>90</v>
      </c>
      <c r="B123">
        <v>0.148197</v>
      </c>
      <c r="C123">
        <v>9.3747269999999994E-2</v>
      </c>
      <c r="D123">
        <f t="shared" si="28"/>
        <v>1.3277729445985598E-2</v>
      </c>
      <c r="E123">
        <f t="shared" si="28"/>
        <v>8.1695348477990315E-3</v>
      </c>
      <c r="G123">
        <v>90</v>
      </c>
      <c r="H123">
        <v>1.2358099999999999E-4</v>
      </c>
      <c r="I123" s="5">
        <v>7.8156299999999996E-5</v>
      </c>
      <c r="J123">
        <f t="shared" si="29"/>
        <v>1.0299000028357597E-5</v>
      </c>
      <c r="K123">
        <f t="shared" si="30"/>
        <v>6.5132583189075888E-6</v>
      </c>
      <c r="N123">
        <f t="shared" si="27"/>
        <v>120</v>
      </c>
      <c r="O123">
        <f t="shared" si="18"/>
        <v>39</v>
      </c>
      <c r="P123" s="8">
        <f t="shared" si="25"/>
        <v>0</v>
      </c>
      <c r="Q123">
        <f t="shared" si="31"/>
        <v>0</v>
      </c>
      <c r="R123">
        <f t="shared" si="26"/>
        <v>0</v>
      </c>
      <c r="S123">
        <f t="shared" si="32"/>
        <v>0</v>
      </c>
      <c r="T123">
        <f t="shared" si="19"/>
        <v>0</v>
      </c>
      <c r="U123">
        <f t="shared" si="20"/>
        <v>0</v>
      </c>
      <c r="V123">
        <f t="shared" si="21"/>
        <v>0</v>
      </c>
      <c r="W123">
        <f t="shared" si="22"/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</row>
    <row r="124" spans="1:32">
      <c r="A124">
        <v>91</v>
      </c>
      <c r="B124">
        <v>0.16742599999999999</v>
      </c>
      <c r="C124">
        <v>0.10455053</v>
      </c>
      <c r="D124">
        <f t="shared" si="28"/>
        <v>1.5153444354514711E-2</v>
      </c>
      <c r="E124">
        <f t="shared" si="28"/>
        <v>9.1602441159576165E-3</v>
      </c>
      <c r="G124">
        <v>91</v>
      </c>
      <c r="H124">
        <v>1.39629E-4</v>
      </c>
      <c r="I124" s="5">
        <v>8.7167200000000001E-5</v>
      </c>
      <c r="J124">
        <f t="shared" si="29"/>
        <v>1.1636494715139278E-5</v>
      </c>
      <c r="K124">
        <f t="shared" si="30"/>
        <v>7.2642235554587486E-6</v>
      </c>
      <c r="N124">
        <f t="shared" si="27"/>
        <v>121</v>
      </c>
      <c r="O124">
        <f t="shared" si="18"/>
        <v>40</v>
      </c>
      <c r="P124" s="8">
        <f t="shared" si="25"/>
        <v>0</v>
      </c>
      <c r="Q124">
        <f t="shared" si="31"/>
        <v>0</v>
      </c>
      <c r="R124">
        <f t="shared" si="26"/>
        <v>0</v>
      </c>
      <c r="S124">
        <f t="shared" si="32"/>
        <v>0</v>
      </c>
      <c r="T124">
        <f t="shared" si="19"/>
        <v>0</v>
      </c>
      <c r="U124">
        <f t="shared" si="20"/>
        <v>0</v>
      </c>
      <c r="V124">
        <f t="shared" si="21"/>
        <v>0</v>
      </c>
      <c r="W124">
        <f t="shared" si="22"/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</row>
    <row r="125" spans="1:32">
      <c r="A125">
        <v>92</v>
      </c>
      <c r="B125">
        <v>0.18915000000000001</v>
      </c>
      <c r="C125">
        <v>0.11637582</v>
      </c>
      <c r="D125">
        <f t="shared" si="28"/>
        <v>1.73209210878289E-2</v>
      </c>
      <c r="E125">
        <f t="shared" si="28"/>
        <v>1.0257318063709109E-2</v>
      </c>
      <c r="G125">
        <v>92</v>
      </c>
      <c r="H125">
        <v>1.5776200000000001E-4</v>
      </c>
      <c r="I125" s="5">
        <v>9.7031600000000001E-5</v>
      </c>
      <c r="J125">
        <f t="shared" si="29"/>
        <v>1.3147784044931221E-5</v>
      </c>
      <c r="K125">
        <f t="shared" si="30"/>
        <v>8.0863262946762049E-6</v>
      </c>
      <c r="N125">
        <f t="shared" si="27"/>
        <v>122</v>
      </c>
      <c r="O125">
        <f t="shared" si="18"/>
        <v>40</v>
      </c>
      <c r="P125" s="8">
        <f t="shared" si="25"/>
        <v>0</v>
      </c>
      <c r="Q125">
        <f t="shared" si="31"/>
        <v>0</v>
      </c>
      <c r="R125">
        <f t="shared" si="26"/>
        <v>0</v>
      </c>
      <c r="S125">
        <f t="shared" si="32"/>
        <v>0</v>
      </c>
      <c r="T125">
        <f t="shared" si="19"/>
        <v>0</v>
      </c>
      <c r="U125">
        <f t="shared" si="20"/>
        <v>0</v>
      </c>
      <c r="V125">
        <f t="shared" si="21"/>
        <v>0</v>
      </c>
      <c r="W125">
        <f t="shared" si="22"/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</row>
    <row r="126" spans="1:32">
      <c r="A126">
        <v>93</v>
      </c>
      <c r="B126">
        <v>0.21369299999999999</v>
      </c>
      <c r="C126">
        <v>0.12928529999999999</v>
      </c>
      <c r="D126">
        <f t="shared" si="28"/>
        <v>1.9834651049476681E-2</v>
      </c>
      <c r="E126">
        <f t="shared" si="28"/>
        <v>1.1470449492923529E-2</v>
      </c>
      <c r="G126">
        <v>93</v>
      </c>
      <c r="H126">
        <v>1.78252E-4</v>
      </c>
      <c r="I126">
        <v>1.07802E-4</v>
      </c>
      <c r="J126">
        <f t="shared" si="29"/>
        <v>1.4855547053271856E-5</v>
      </c>
      <c r="K126">
        <f t="shared" si="30"/>
        <v>8.9839438985883646E-6</v>
      </c>
      <c r="N126">
        <f t="shared" si="27"/>
        <v>123</v>
      </c>
      <c r="O126">
        <f t="shared" si="18"/>
        <v>40</v>
      </c>
      <c r="P126" s="8">
        <f t="shared" si="25"/>
        <v>0</v>
      </c>
      <c r="Q126">
        <f t="shared" si="31"/>
        <v>0</v>
      </c>
      <c r="R126">
        <f t="shared" si="26"/>
        <v>0</v>
      </c>
      <c r="S126">
        <f t="shared" si="32"/>
        <v>0</v>
      </c>
      <c r="T126">
        <f t="shared" si="19"/>
        <v>0</v>
      </c>
      <c r="U126">
        <f t="shared" si="20"/>
        <v>0</v>
      </c>
      <c r="V126">
        <f t="shared" si="21"/>
        <v>0</v>
      </c>
      <c r="W126">
        <f t="shared" si="22"/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</row>
    <row r="127" spans="1:32">
      <c r="A127">
        <v>94</v>
      </c>
      <c r="B127">
        <v>0.241421</v>
      </c>
      <c r="C127">
        <v>0.14333947</v>
      </c>
      <c r="D127">
        <f t="shared" si="28"/>
        <v>2.2762626067819758E-2</v>
      </c>
      <c r="E127">
        <f t="shared" si="28"/>
        <v>1.2810040039373694E-2</v>
      </c>
      <c r="G127">
        <v>94</v>
      </c>
      <c r="H127">
        <v>2.0140699999999999E-4</v>
      </c>
      <c r="I127">
        <v>1.19528E-4</v>
      </c>
      <c r="J127">
        <f t="shared" si="29"/>
        <v>1.6785466215307743E-5</v>
      </c>
      <c r="K127">
        <f t="shared" si="30"/>
        <v>9.9612123901637872E-6</v>
      </c>
      <c r="N127">
        <f t="shared" si="27"/>
        <v>124</v>
      </c>
      <c r="O127">
        <f t="shared" si="18"/>
        <v>40</v>
      </c>
      <c r="P127" s="8">
        <f t="shared" si="25"/>
        <v>0</v>
      </c>
      <c r="Q127">
        <f t="shared" si="31"/>
        <v>0</v>
      </c>
      <c r="R127">
        <f t="shared" si="26"/>
        <v>0</v>
      </c>
      <c r="S127">
        <f t="shared" si="32"/>
        <v>0</v>
      </c>
      <c r="T127">
        <f t="shared" si="19"/>
        <v>0</v>
      </c>
      <c r="U127">
        <f t="shared" si="20"/>
        <v>0</v>
      </c>
      <c r="V127">
        <f t="shared" si="21"/>
        <v>0</v>
      </c>
      <c r="W127">
        <f t="shared" si="22"/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</row>
    <row r="128" spans="1:32">
      <c r="A128">
        <v>95</v>
      </c>
      <c r="B128">
        <v>0.27274599999999999</v>
      </c>
      <c r="C128">
        <v>0.15859616000000001</v>
      </c>
      <c r="D128">
        <f t="shared" si="28"/>
        <v>2.6190867226429937E-2</v>
      </c>
      <c r="E128">
        <f t="shared" si="28"/>
        <v>1.4287249911449917E-2</v>
      </c>
      <c r="G128">
        <v>95</v>
      </c>
      <c r="H128">
        <v>2.2757300000000001E-4</v>
      </c>
      <c r="I128">
        <v>1.3226000000000001E-4</v>
      </c>
      <c r="J128">
        <f t="shared" si="29"/>
        <v>1.896639502441122E-5</v>
      </c>
      <c r="K128">
        <f t="shared" si="30"/>
        <v>1.1022334847399229E-5</v>
      </c>
      <c r="N128">
        <f t="shared" si="27"/>
        <v>125</v>
      </c>
      <c r="O128">
        <f t="shared" ref="O128:O133" si="33">IF(MOD(N128,12)=1,O127+1,O127)</f>
        <v>40</v>
      </c>
      <c r="P128" s="8">
        <f t="shared" si="25"/>
        <v>0</v>
      </c>
      <c r="Q128">
        <f t="shared" si="31"/>
        <v>0</v>
      </c>
      <c r="R128">
        <f t="shared" si="26"/>
        <v>0</v>
      </c>
      <c r="S128">
        <f t="shared" si="32"/>
        <v>0</v>
      </c>
      <c r="T128">
        <f t="shared" ref="T128:T133" si="34">IF(MOD(N128,12)=0,$B$9,0)*P128*(N128&lt;$B$8)</f>
        <v>0</v>
      </c>
      <c r="U128">
        <f t="shared" ref="U128:U133" si="35">Q128*$B$10</f>
        <v>0</v>
      </c>
      <c r="V128">
        <f t="shared" ref="V128:V133" si="36">$B$14*S128</f>
        <v>0</v>
      </c>
      <c r="W128">
        <f t="shared" ref="W128:W133" si="37">W129/$B$12+SUM(U128,V128)-T128</f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</row>
    <row r="129" spans="1:32">
      <c r="A129">
        <v>96</v>
      </c>
      <c r="B129">
        <v>0.30813600000000002</v>
      </c>
      <c r="C129">
        <v>0.17510936999999999</v>
      </c>
      <c r="D129">
        <f t="shared" si="28"/>
        <v>3.0230782801269229E-2</v>
      </c>
      <c r="E129">
        <f t="shared" si="28"/>
        <v>1.5914051060414547E-2</v>
      </c>
      <c r="G129">
        <v>96</v>
      </c>
      <c r="H129">
        <v>2.5714299999999999E-4</v>
      </c>
      <c r="I129">
        <v>1.4604200000000001E-4</v>
      </c>
      <c r="J129">
        <f t="shared" si="29"/>
        <v>2.1431109261338399E-5</v>
      </c>
      <c r="K129">
        <f t="shared" si="30"/>
        <v>1.2170981363968103E-5</v>
      </c>
      <c r="N129">
        <f t="shared" si="27"/>
        <v>126</v>
      </c>
      <c r="O129">
        <f t="shared" si="33"/>
        <v>40</v>
      </c>
      <c r="P129" s="8">
        <f t="shared" si="25"/>
        <v>0</v>
      </c>
      <c r="Q129">
        <f t="shared" si="31"/>
        <v>0</v>
      </c>
      <c r="R129">
        <f t="shared" si="26"/>
        <v>0</v>
      </c>
      <c r="S129">
        <f t="shared" si="32"/>
        <v>0</v>
      </c>
      <c r="T129">
        <f t="shared" si="34"/>
        <v>0</v>
      </c>
      <c r="U129">
        <f t="shared" si="35"/>
        <v>0</v>
      </c>
      <c r="V129">
        <f t="shared" si="36"/>
        <v>0</v>
      </c>
      <c r="W129">
        <f t="shared" si="37"/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</row>
    <row r="130" spans="1:32">
      <c r="A130">
        <v>97</v>
      </c>
      <c r="B130">
        <v>0.34811799999999998</v>
      </c>
      <c r="C130">
        <v>0.19292809999999999</v>
      </c>
      <c r="D130">
        <f t="shared" si="28"/>
        <v>3.5029398543512946E-2</v>
      </c>
      <c r="E130">
        <f t="shared" si="28"/>
        <v>1.7703298856649674E-2</v>
      </c>
      <c r="G130">
        <v>97</v>
      </c>
      <c r="H130">
        <v>2.9056200000000001E-4</v>
      </c>
      <c r="I130">
        <v>1.6091599999999999E-4</v>
      </c>
      <c r="J130">
        <f t="shared" si="29"/>
        <v>2.4216725213466184E-5</v>
      </c>
      <c r="K130">
        <f t="shared" si="30"/>
        <v>1.3410655773760105E-5</v>
      </c>
      <c r="N130">
        <f t="shared" si="27"/>
        <v>127</v>
      </c>
      <c r="O130">
        <f t="shared" si="33"/>
        <v>40</v>
      </c>
      <c r="P130" s="8">
        <f t="shared" si="25"/>
        <v>0</v>
      </c>
      <c r="Q130">
        <f t="shared" si="31"/>
        <v>0</v>
      </c>
      <c r="R130">
        <f t="shared" si="26"/>
        <v>0</v>
      </c>
      <c r="S130">
        <f t="shared" si="32"/>
        <v>0</v>
      </c>
      <c r="T130">
        <f t="shared" si="34"/>
        <v>0</v>
      </c>
      <c r="U130">
        <f t="shared" si="35"/>
        <v>0</v>
      </c>
      <c r="V130">
        <f t="shared" si="36"/>
        <v>0</v>
      </c>
      <c r="W130">
        <f t="shared" si="37"/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</row>
    <row r="131" spans="1:32">
      <c r="A131">
        <v>98</v>
      </c>
      <c r="B131">
        <v>0.39328800000000003</v>
      </c>
      <c r="C131">
        <v>0.21209508999999999</v>
      </c>
      <c r="D131">
        <f t="shared" si="28"/>
        <v>4.0786647992585356E-2</v>
      </c>
      <c r="E131">
        <f t="shared" si="28"/>
        <v>1.9668816848982029E-2</v>
      </c>
      <c r="G131">
        <v>98</v>
      </c>
      <c r="H131">
        <v>3.2833200000000003E-4</v>
      </c>
      <c r="I131">
        <v>1.76918E-4</v>
      </c>
      <c r="J131">
        <f t="shared" si="29"/>
        <v>2.7365118297706381E-5</v>
      </c>
      <c r="K131">
        <f t="shared" si="30"/>
        <v>1.4744362287100188E-5</v>
      </c>
      <c r="N131">
        <f t="shared" si="27"/>
        <v>128</v>
      </c>
      <c r="O131">
        <f t="shared" si="33"/>
        <v>40</v>
      </c>
      <c r="P131" s="8">
        <f t="shared" si="25"/>
        <v>0</v>
      </c>
      <c r="Q131">
        <f t="shared" si="31"/>
        <v>0</v>
      </c>
      <c r="R131">
        <f t="shared" si="26"/>
        <v>0</v>
      </c>
      <c r="S131">
        <f t="shared" si="32"/>
        <v>0</v>
      </c>
      <c r="T131">
        <f t="shared" si="34"/>
        <v>0</v>
      </c>
      <c r="U131">
        <f t="shared" si="35"/>
        <v>0</v>
      </c>
      <c r="V131">
        <f t="shared" si="36"/>
        <v>0</v>
      </c>
      <c r="W131">
        <f t="shared" si="37"/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</row>
    <row r="132" spans="1:32">
      <c r="A132">
        <v>99</v>
      </c>
      <c r="B132">
        <v>0.44431799999999999</v>
      </c>
      <c r="C132">
        <v>0.23264547999999999</v>
      </c>
      <c r="D132">
        <f t="shared" si="28"/>
        <v>4.7783884207008964E-2</v>
      </c>
      <c r="E132">
        <f t="shared" si="28"/>
        <v>2.1825497873453448E-2</v>
      </c>
      <c r="G132">
        <v>99</v>
      </c>
      <c r="H132">
        <v>3.7102100000000002E-4</v>
      </c>
      <c r="I132">
        <v>1.9407800000000001E-4</v>
      </c>
      <c r="J132">
        <f t="shared" si="29"/>
        <v>3.0923675629956904E-5</v>
      </c>
      <c r="K132">
        <f t="shared" si="30"/>
        <v>1.617460548730687E-5</v>
      </c>
      <c r="N132">
        <f t="shared" si="27"/>
        <v>129</v>
      </c>
      <c r="O132">
        <f t="shared" si="33"/>
        <v>40</v>
      </c>
      <c r="P132" s="8">
        <f t="shared" si="25"/>
        <v>0</v>
      </c>
      <c r="Q132">
        <f t="shared" si="31"/>
        <v>0</v>
      </c>
      <c r="R132">
        <f t="shared" si="26"/>
        <v>0</v>
      </c>
      <c r="S132">
        <f t="shared" si="32"/>
        <v>0</v>
      </c>
      <c r="T132">
        <f t="shared" si="34"/>
        <v>0</v>
      </c>
      <c r="U132">
        <f t="shared" si="35"/>
        <v>0</v>
      </c>
      <c r="V132">
        <f t="shared" si="36"/>
        <v>0</v>
      </c>
      <c r="W132">
        <f t="shared" si="37"/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</row>
    <row r="133" spans="1:32">
      <c r="A133">
        <v>100</v>
      </c>
      <c r="B133">
        <v>1</v>
      </c>
      <c r="C133">
        <v>1</v>
      </c>
      <c r="D133">
        <f t="shared" si="28"/>
        <v>1</v>
      </c>
      <c r="E133">
        <f t="shared" si="28"/>
        <v>1</v>
      </c>
      <c r="G133">
        <v>100</v>
      </c>
      <c r="H133">
        <v>8.3717700000000004E-4</v>
      </c>
      <c r="I133">
        <v>8.3717700000000004E-4</v>
      </c>
      <c r="J133">
        <f t="shared" si="29"/>
        <v>6.9791533488516855E-5</v>
      </c>
      <c r="K133">
        <f t="shared" si="30"/>
        <v>6.9791533488516855E-5</v>
      </c>
      <c r="N133">
        <f t="shared" si="27"/>
        <v>130</v>
      </c>
      <c r="O133">
        <f t="shared" si="33"/>
        <v>40</v>
      </c>
      <c r="P133" s="8">
        <f t="shared" ref="P133" si="38">_xlfn.IFNA(P132-Q133-R133-S133,0)*(N133&lt;=$B$8)</f>
        <v>0</v>
      </c>
      <c r="Q133">
        <f t="shared" si="31"/>
        <v>0</v>
      </c>
      <c r="R133">
        <f t="shared" ref="R133" si="39">_xlfn.IFNA(IF(MOD(N133,3)=0,VLOOKUP(_xlfn.FLOOR.MATH((N133-1)/12),$A$18:$D$24,3,FALSE),0)*P132,0)*(N133&lt;=$B$8)</f>
        <v>0</v>
      </c>
      <c r="S133">
        <f t="shared" si="32"/>
        <v>0</v>
      </c>
      <c r="T133">
        <f t="shared" si="34"/>
        <v>0</v>
      </c>
      <c r="U133">
        <f t="shared" si="35"/>
        <v>0</v>
      </c>
      <c r="V133">
        <f t="shared" si="36"/>
        <v>0</v>
      </c>
      <c r="W133">
        <f t="shared" si="37"/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9C60B-0942-F846-A060-19ABCB494B1D}">
  <sheetPr codeName="Sheet2"/>
  <dimension ref="A1:R133"/>
  <sheetViews>
    <sheetView topLeftCell="A62" workbookViewId="0">
      <selection activeCell="N63" sqref="N63"/>
    </sheetView>
  </sheetViews>
  <sheetFormatPr baseColWidth="10" defaultColWidth="8.83203125" defaultRowHeight="15"/>
  <cols>
    <col min="1" max="1" width="14.5" bestFit="1" customWidth="1"/>
    <col min="2" max="2" width="10.1640625" bestFit="1" customWidth="1"/>
    <col min="3" max="3" width="11.1640625" bestFit="1" customWidth="1"/>
    <col min="4" max="4" width="11.83203125" bestFit="1" customWidth="1"/>
    <col min="8" max="8" width="11.83203125" bestFit="1" customWidth="1"/>
    <col min="9" max="10" width="11.83203125" customWidth="1"/>
    <col min="11" max="11" width="15.1640625" bestFit="1" customWidth="1"/>
    <col min="12" max="12" width="18.83203125" customWidth="1"/>
  </cols>
  <sheetData>
    <row r="1" spans="1:18">
      <c r="A1" t="s">
        <v>23</v>
      </c>
    </row>
    <row r="2" spans="1:18">
      <c r="C2" t="s">
        <v>8</v>
      </c>
      <c r="F2" t="s">
        <v>10</v>
      </c>
      <c r="G2" t="s">
        <v>15</v>
      </c>
      <c r="H2" t="s">
        <v>14</v>
      </c>
      <c r="I2" t="s">
        <v>30</v>
      </c>
      <c r="J2" t="s">
        <v>33</v>
      </c>
      <c r="K2" t="s">
        <v>11</v>
      </c>
      <c r="L2" t="s">
        <v>12</v>
      </c>
      <c r="M2" t="s">
        <v>25</v>
      </c>
      <c r="N2" t="s">
        <v>21</v>
      </c>
    </row>
    <row r="3" spans="1:18">
      <c r="A3" t="s">
        <v>4</v>
      </c>
      <c r="B3" s="1">
        <f>Data!A$1</f>
        <v>1</v>
      </c>
      <c r="F3">
        <v>0</v>
      </c>
      <c r="G3">
        <f>B4</f>
        <v>30</v>
      </c>
      <c r="H3">
        <v>1</v>
      </c>
      <c r="I3">
        <v>0</v>
      </c>
      <c r="K3">
        <f>IF(MOD(F3,12)=0,$B$9,0)*H3</f>
        <v>5</v>
      </c>
      <c r="L3">
        <v>0</v>
      </c>
      <c r="M3" t="s">
        <v>26</v>
      </c>
      <c r="N3">
        <f>N4/$B$12+L3-K3</f>
        <v>-19.829909574798886</v>
      </c>
    </row>
    <row r="4" spans="1:18">
      <c r="A4" t="s">
        <v>0</v>
      </c>
      <c r="B4" s="1">
        <f>Data!B$1</f>
        <v>30</v>
      </c>
      <c r="F4">
        <v>1</v>
      </c>
      <c r="G4">
        <f>G3</f>
        <v>30</v>
      </c>
      <c r="H4">
        <f>H3-I4-J4</f>
        <v>0.99997507991805934</v>
      </c>
      <c r="I4">
        <f t="shared" ref="I4:I35" si="0">H3*VLOOKUP(G4,Mortality_Table,IF($B$5="M",4,5),FALSE)</f>
        <v>2.492008194066031E-5</v>
      </c>
      <c r="J4">
        <f>IF(MOD(F4,3)=0,VLOOKUP(_xlfn.FLOOR.MATH((F4-1)/12),$A$18:$D$24,3,FALSE),0)*H3</f>
        <v>0</v>
      </c>
      <c r="K4">
        <f t="shared" ref="K4:K62" si="1">IF(MOD(F4,12)=0,$B$9,0)*H4</f>
        <v>0</v>
      </c>
      <c r="L4">
        <f>I4*$B$10</f>
        <v>2.492008194066031E-3</v>
      </c>
      <c r="N4">
        <f t="shared" ref="N4:N61" si="2">N5/$B$12+L4-K4</f>
        <v>-14.893163869876558</v>
      </c>
    </row>
    <row r="5" spans="1:18">
      <c r="A5" t="s">
        <v>1</v>
      </c>
      <c r="B5" s="1" t="str">
        <f>Data!C$1</f>
        <v>M</v>
      </c>
      <c r="F5">
        <v>2</v>
      </c>
      <c r="G5">
        <f t="shared" ref="G5:G63" si="3">IF(MOD(F5,12)=1,G4+1,G4)</f>
        <v>30</v>
      </c>
      <c r="H5">
        <f>H4-I5-J5</f>
        <v>0.99995016045712914</v>
      </c>
      <c r="I5">
        <f t="shared" si="0"/>
        <v>2.4919460930176381E-5</v>
      </c>
      <c r="J5">
        <f t="shared" ref="J5:J63" si="4">IF(MOD(F5,3)=0,VLOOKUP(_xlfn.FLOOR.MATH((F5-1)/12),$A$18:$D$24,3,FALSE),0)*H4</f>
        <v>0</v>
      </c>
      <c r="K5">
        <f t="shared" si="1"/>
        <v>0</v>
      </c>
      <c r="L5">
        <f t="shared" ref="L5:L63" si="5">I5*$B$10</f>
        <v>2.491946093017638E-3</v>
      </c>
      <c r="N5">
        <f t="shared" si="2"/>
        <v>-14.959190602104819</v>
      </c>
    </row>
    <row r="6" spans="1:18">
      <c r="A6" t="s">
        <v>2</v>
      </c>
      <c r="B6" s="1" t="str">
        <f>Data!D$1</f>
        <v>N</v>
      </c>
      <c r="F6">
        <v>3</v>
      </c>
      <c r="G6">
        <f t="shared" si="3"/>
        <v>30</v>
      </c>
      <c r="H6">
        <f t="shared" ref="H6:H62" si="6">H5-I6-J6</f>
        <v>0.97393028368388523</v>
      </c>
      <c r="I6">
        <f t="shared" si="0"/>
        <v>2.4918839935168083E-5</v>
      </c>
      <c r="J6">
        <f t="shared" si="4"/>
        <v>2.5994957933308735E-2</v>
      </c>
      <c r="K6">
        <f t="shared" si="1"/>
        <v>0</v>
      </c>
      <c r="L6">
        <f t="shared" si="5"/>
        <v>2.4918839935168082E-3</v>
      </c>
      <c r="N6">
        <f t="shared" si="2"/>
        <v>-15.025498897042633</v>
      </c>
    </row>
    <row r="7" spans="1:18">
      <c r="A7" t="s">
        <v>3</v>
      </c>
      <c r="B7" s="1">
        <f>Data!E$1</f>
        <v>0</v>
      </c>
      <c r="F7">
        <f>F6+1</f>
        <v>4</v>
      </c>
      <c r="G7">
        <f t="shared" si="3"/>
        <v>30</v>
      </c>
      <c r="H7">
        <f>H6-I7-J7</f>
        <v>0.97390601326141135</v>
      </c>
      <c r="I7">
        <f t="shared" si="0"/>
        <v>2.4270422473892963E-5</v>
      </c>
      <c r="J7">
        <f t="shared" si="4"/>
        <v>0</v>
      </c>
      <c r="K7">
        <f t="shared" si="1"/>
        <v>0</v>
      </c>
      <c r="L7">
        <f t="shared" si="5"/>
        <v>2.4270422473892965E-3</v>
      </c>
      <c r="N7">
        <f t="shared" si="2"/>
        <v>-15.092089955646328</v>
      </c>
    </row>
    <row r="8" spans="1:18">
      <c r="A8" t="s">
        <v>9</v>
      </c>
      <c r="B8" s="1">
        <f>Data!F$1</f>
        <v>60</v>
      </c>
      <c r="F8">
        <f t="shared" ref="F8:F63" si="7">F7+1</f>
        <v>5</v>
      </c>
      <c r="G8">
        <f t="shared" si="3"/>
        <v>30</v>
      </c>
      <c r="H8">
        <f t="shared" si="6"/>
        <v>0.97388174344375833</v>
      </c>
      <c r="I8">
        <f t="shared" si="0"/>
        <v>2.4269817652976177E-5</v>
      </c>
      <c r="J8">
        <f t="shared" si="4"/>
        <v>0</v>
      </c>
      <c r="K8">
        <f t="shared" si="1"/>
        <v>0</v>
      </c>
      <c r="L8">
        <f t="shared" si="5"/>
        <v>2.4269817652976177E-3</v>
      </c>
      <c r="N8">
        <f t="shared" si="2"/>
        <v>-15.158899928040654</v>
      </c>
    </row>
    <row r="9" spans="1:18">
      <c r="A9" t="s">
        <v>13</v>
      </c>
      <c r="B9" s="1">
        <f>Data!G$1</f>
        <v>5</v>
      </c>
      <c r="F9">
        <f t="shared" si="7"/>
        <v>6</v>
      </c>
      <c r="G9">
        <f t="shared" si="3"/>
        <v>30</v>
      </c>
      <c r="H9">
        <f>H8-I9-J9</f>
        <v>0.94854019747657314</v>
      </c>
      <c r="I9">
        <f t="shared" si="0"/>
        <v>2.426921284713158E-5</v>
      </c>
      <c r="J9">
        <f t="shared" si="4"/>
        <v>2.531727675433804E-2</v>
      </c>
      <c r="K9">
        <f t="shared" si="1"/>
        <v>0</v>
      </c>
      <c r="L9">
        <f t="shared" si="5"/>
        <v>2.4269212847131579E-3</v>
      </c>
      <c r="N9">
        <f>N10/$B$12+L9-K9</f>
        <v>-15.225994805539559</v>
      </c>
    </row>
    <row r="10" spans="1:18">
      <c r="A10" t="s">
        <v>19</v>
      </c>
      <c r="B10" s="1">
        <f>Data!H$1</f>
        <v>100</v>
      </c>
      <c r="F10">
        <f t="shared" si="7"/>
        <v>7</v>
      </c>
      <c r="G10">
        <f t="shared" si="3"/>
        <v>30</v>
      </c>
      <c r="H10">
        <f t="shared" si="6"/>
        <v>0.94851655977712801</v>
      </c>
      <c r="I10">
        <f t="shared" si="0"/>
        <v>2.3637699445126313E-5</v>
      </c>
      <c r="J10">
        <f t="shared" si="4"/>
        <v>0</v>
      </c>
      <c r="K10">
        <f t="shared" si="1"/>
        <v>0</v>
      </c>
      <c r="L10">
        <f t="shared" si="5"/>
        <v>2.3637699445126312E-3</v>
      </c>
      <c r="N10">
        <f t="shared" si="2"/>
        <v>-15.293375803355707</v>
      </c>
    </row>
    <row r="11" spans="1:18">
      <c r="A11" t="s">
        <v>20</v>
      </c>
      <c r="B11" s="1">
        <f>Data!I$1</f>
        <v>0.05</v>
      </c>
      <c r="C11">
        <f>1-(1-B11)^(1/12)</f>
        <v>4.2653187775606449E-3</v>
      </c>
      <c r="F11">
        <f t="shared" si="7"/>
        <v>8</v>
      </c>
      <c r="G11">
        <f t="shared" si="3"/>
        <v>30</v>
      </c>
      <c r="H11">
        <f t="shared" si="6"/>
        <v>0.94849292266673624</v>
      </c>
      <c r="I11">
        <f t="shared" si="0"/>
        <v>2.3637110391719255E-5</v>
      </c>
      <c r="J11">
        <f t="shared" si="4"/>
        <v>0</v>
      </c>
      <c r="K11">
        <f t="shared" si="1"/>
        <v>0</v>
      </c>
      <c r="L11">
        <f t="shared" si="5"/>
        <v>2.3637110391719254E-3</v>
      </c>
      <c r="N11">
        <f t="shared" si="2"/>
        <v>-15.360980781921267</v>
      </c>
    </row>
    <row r="12" spans="1:18">
      <c r="A12" t="s">
        <v>22</v>
      </c>
      <c r="B12" s="1">
        <f>Data!J$1</f>
        <v>1.0042653189999999</v>
      </c>
      <c r="F12">
        <f t="shared" si="7"/>
        <v>9</v>
      </c>
      <c r="G12">
        <f t="shared" si="3"/>
        <v>30</v>
      </c>
      <c r="H12">
        <f t="shared" si="6"/>
        <v>0.92381202361392745</v>
      </c>
      <c r="I12">
        <f t="shared" si="0"/>
        <v>2.3636521352991451E-5</v>
      </c>
      <c r="J12">
        <f t="shared" si="4"/>
        <v>2.4657262531455879E-2</v>
      </c>
      <c r="K12">
        <f t="shared" si="1"/>
        <v>0</v>
      </c>
      <c r="L12">
        <f t="shared" si="5"/>
        <v>2.3636521352991451E-3</v>
      </c>
      <c r="N12">
        <f t="shared" si="2"/>
        <v>-15.428874058129807</v>
      </c>
    </row>
    <row r="13" spans="1:18">
      <c r="A13" t="s">
        <v>37</v>
      </c>
      <c r="B13" s="1">
        <f>Data!K$1</f>
        <v>4</v>
      </c>
      <c r="F13">
        <f t="shared" si="7"/>
        <v>10</v>
      </c>
      <c r="G13">
        <f t="shared" si="3"/>
        <v>30</v>
      </c>
      <c r="H13">
        <f t="shared" si="6"/>
        <v>0.92378900214260118</v>
      </c>
      <c r="I13">
        <f t="shared" si="0"/>
        <v>2.302147132622629E-5</v>
      </c>
      <c r="J13">
        <f t="shared" si="4"/>
        <v>0</v>
      </c>
      <c r="K13">
        <f t="shared" si="1"/>
        <v>0</v>
      </c>
      <c r="L13">
        <f t="shared" si="5"/>
        <v>2.3021471326226291E-3</v>
      </c>
      <c r="N13">
        <f t="shared" si="2"/>
        <v>-15.497056861664216</v>
      </c>
    </row>
    <row r="14" spans="1:18">
      <c r="F14">
        <f t="shared" si="7"/>
        <v>11</v>
      </c>
      <c r="G14">
        <f t="shared" si="3"/>
        <v>30</v>
      </c>
      <c r="H14">
        <f t="shared" si="6"/>
        <v>0.92376598124497189</v>
      </c>
      <c r="I14">
        <f t="shared" si="0"/>
        <v>2.3020897629274444E-5</v>
      </c>
      <c r="J14">
        <f t="shared" si="4"/>
        <v>0</v>
      </c>
      <c r="K14">
        <f t="shared" si="1"/>
        <v>0</v>
      </c>
      <c r="L14">
        <f t="shared" si="5"/>
        <v>2.3020897629274445E-3</v>
      </c>
      <c r="N14">
        <f t="shared" si="2"/>
        <v>-15.56546871926488</v>
      </c>
    </row>
    <row r="15" spans="1:18">
      <c r="F15">
        <f t="shared" si="7"/>
        <v>12</v>
      </c>
      <c r="G15">
        <f t="shared" si="3"/>
        <v>30</v>
      </c>
      <c r="H15">
        <f t="shared" si="6"/>
        <v>0.89972850622889644</v>
      </c>
      <c r="I15">
        <f t="shared" si="0"/>
        <v>2.3020323946619173E-5</v>
      </c>
      <c r="J15">
        <f t="shared" si="4"/>
        <v>2.4014454692128859E-2</v>
      </c>
      <c r="K15">
        <f t="shared" si="1"/>
        <v>4.4986425311444824</v>
      </c>
      <c r="L15">
        <f t="shared" si="5"/>
        <v>2.3020323946619172E-3</v>
      </c>
      <c r="N15">
        <f t="shared" si="2"/>
        <v>-15.634172317647199</v>
      </c>
      <c r="R15" s="2"/>
    </row>
    <row r="16" spans="1:18">
      <c r="A16" t="s">
        <v>31</v>
      </c>
      <c r="F16">
        <f t="shared" si="7"/>
        <v>13</v>
      </c>
      <c r="G16">
        <f t="shared" si="3"/>
        <v>31</v>
      </c>
      <c r="H16">
        <f t="shared" si="6"/>
        <v>0.89970443494966257</v>
      </c>
      <c r="I16">
        <f t="shared" si="0"/>
        <v>2.4071279233867061E-5</v>
      </c>
      <c r="J16">
        <f t="shared" si="4"/>
        <v>0</v>
      </c>
      <c r="K16">
        <f t="shared" si="1"/>
        <v>0</v>
      </c>
      <c r="L16">
        <f t="shared" si="5"/>
        <v>2.4071279233867059E-3</v>
      </c>
      <c r="N16">
        <f t="shared" si="2"/>
        <v>-11.185338224573325</v>
      </c>
    </row>
    <row r="17" spans="1:14">
      <c r="A17" t="s">
        <v>32</v>
      </c>
      <c r="B17" t="s">
        <v>35</v>
      </c>
      <c r="C17" t="s">
        <v>36</v>
      </c>
      <c r="D17" t="s">
        <v>34</v>
      </c>
      <c r="F17">
        <f t="shared" si="7"/>
        <v>14</v>
      </c>
      <c r="G17">
        <f t="shared" si="3"/>
        <v>31</v>
      </c>
      <c r="H17">
        <f t="shared" si="6"/>
        <v>0.89968036431443021</v>
      </c>
      <c r="I17">
        <f t="shared" si="0"/>
        <v>2.4070635232393344E-5</v>
      </c>
      <c r="J17">
        <f t="shared" si="4"/>
        <v>0</v>
      </c>
      <c r="K17">
        <f t="shared" si="1"/>
        <v>0</v>
      </c>
      <c r="L17">
        <f t="shared" si="5"/>
        <v>2.4070635232393343E-3</v>
      </c>
      <c r="N17">
        <f t="shared" si="2"/>
        <v>-11.235464655315878</v>
      </c>
    </row>
    <row r="18" spans="1:14">
      <c r="A18">
        <v>0</v>
      </c>
      <c r="B18" s="3">
        <v>0.1</v>
      </c>
      <c r="C18">
        <f>1-(1-B18)^(1/4)</f>
        <v>2.5996253574703254E-2</v>
      </c>
      <c r="D18">
        <f>1-(1-B18)^(1/12)</f>
        <v>8.7416109546967213E-3</v>
      </c>
      <c r="F18">
        <f t="shared" si="7"/>
        <v>15</v>
      </c>
      <c r="G18">
        <f t="shared" si="3"/>
        <v>31</v>
      </c>
      <c r="H18">
        <f t="shared" si="6"/>
        <v>0.88819305735820808</v>
      </c>
      <c r="I18">
        <f t="shared" si="0"/>
        <v>2.4069991248149205E-5</v>
      </c>
      <c r="J18">
        <f t="shared" si="4"/>
        <v>1.1463236964973963E-2</v>
      </c>
      <c r="K18">
        <f t="shared" si="1"/>
        <v>0</v>
      </c>
      <c r="L18">
        <f t="shared" si="5"/>
        <v>2.4069991248149205E-3</v>
      </c>
      <c r="N18">
        <f t="shared" si="2"/>
        <v>-11.285804826601044</v>
      </c>
    </row>
    <row r="19" spans="1:14">
      <c r="A19">
        <v>1</v>
      </c>
      <c r="B19" s="3">
        <v>0.05</v>
      </c>
      <c r="C19">
        <f t="shared" ref="C19:C24" si="8">1-(1-B19)^(1/4)</f>
        <v>1.2741455098566168E-2</v>
      </c>
      <c r="D19">
        <f t="shared" ref="D19:D24" si="9">1-(1-B19)^(1/12)</f>
        <v>4.2653187775606449E-3</v>
      </c>
      <c r="F19">
        <f t="shared" si="7"/>
        <v>16</v>
      </c>
      <c r="G19">
        <f t="shared" si="3"/>
        <v>31</v>
      </c>
      <c r="H19">
        <f t="shared" si="6"/>
        <v>0.88816929469763961</v>
      </c>
      <c r="I19">
        <f t="shared" si="0"/>
        <v>2.3762660568423004E-5</v>
      </c>
      <c r="J19">
        <f t="shared" si="4"/>
        <v>0</v>
      </c>
      <c r="K19">
        <f t="shared" si="1"/>
        <v>0</v>
      </c>
      <c r="L19">
        <f t="shared" si="5"/>
        <v>2.3762660568423005E-3</v>
      </c>
      <c r="N19">
        <f t="shared" si="2"/>
        <v>-11.336359650102152</v>
      </c>
    </row>
    <row r="20" spans="1:14">
      <c r="A20">
        <f>A19+1</f>
        <v>2</v>
      </c>
      <c r="B20" s="6">
        <v>0.03</v>
      </c>
      <c r="C20">
        <f t="shared" si="8"/>
        <v>7.5858827185042443E-3</v>
      </c>
      <c r="D20">
        <f t="shared" si="9"/>
        <v>2.5350486138366879E-3</v>
      </c>
      <c r="F20">
        <f t="shared" si="7"/>
        <v>17</v>
      </c>
      <c r="G20">
        <f t="shared" si="3"/>
        <v>31</v>
      </c>
      <c r="H20">
        <f t="shared" si="6"/>
        <v>0.88814553267281593</v>
      </c>
      <c r="I20">
        <f t="shared" si="0"/>
        <v>2.3762024823713435E-5</v>
      </c>
      <c r="J20">
        <f t="shared" si="4"/>
        <v>0</v>
      </c>
      <c r="K20">
        <f t="shared" si="1"/>
        <v>0</v>
      </c>
      <c r="L20">
        <f t="shared" si="5"/>
        <v>2.3762024823713434E-3</v>
      </c>
      <c r="N20">
        <f t="shared" si="2"/>
        <v>-11.387099241898168</v>
      </c>
    </row>
    <row r="21" spans="1:14">
      <c r="A21">
        <f t="shared" ref="A21:A24" si="10">A20+1</f>
        <v>3</v>
      </c>
      <c r="B21" s="6">
        <v>0.03</v>
      </c>
      <c r="C21">
        <f t="shared" si="8"/>
        <v>7.5858827185042443E-3</v>
      </c>
      <c r="D21">
        <f t="shared" si="9"/>
        <v>2.5350486138366879E-3</v>
      </c>
      <c r="F21">
        <f t="shared" si="7"/>
        <v>18</v>
      </c>
      <c r="G21">
        <f t="shared" si="3"/>
        <v>31</v>
      </c>
      <c r="H21">
        <f t="shared" si="6"/>
        <v>0.8768055048581771</v>
      </c>
      <c r="I21">
        <f t="shared" si="0"/>
        <v>2.3761389096012542E-5</v>
      </c>
      <c r="J21">
        <f t="shared" si="4"/>
        <v>1.1316266425542815E-2</v>
      </c>
      <c r="K21">
        <f t="shared" si="1"/>
        <v>0</v>
      </c>
      <c r="L21">
        <f t="shared" si="5"/>
        <v>2.3761389096012544E-3</v>
      </c>
      <c r="N21">
        <f t="shared" si="2"/>
        <v>-11.43805519039349</v>
      </c>
    </row>
    <row r="22" spans="1:14">
      <c r="A22">
        <f t="shared" si="10"/>
        <v>4</v>
      </c>
      <c r="B22" s="6">
        <v>0.03</v>
      </c>
      <c r="C22">
        <f t="shared" si="8"/>
        <v>7.5858827185042443E-3</v>
      </c>
      <c r="D22">
        <f t="shared" si="9"/>
        <v>2.5350486138366879E-3</v>
      </c>
      <c r="F22">
        <f t="shared" si="7"/>
        <v>19</v>
      </c>
      <c r="G22">
        <f t="shared" si="3"/>
        <v>31</v>
      </c>
      <c r="H22">
        <f t="shared" si="6"/>
        <v>0.87678204685946404</v>
      </c>
      <c r="I22">
        <f t="shared" si="0"/>
        <v>2.3457998713073463E-5</v>
      </c>
      <c r="J22">
        <f t="shared" si="4"/>
        <v>0</v>
      </c>
      <c r="K22">
        <f t="shared" si="1"/>
        <v>0</v>
      </c>
      <c r="L22">
        <f t="shared" si="5"/>
        <v>2.3457998713073461E-3</v>
      </c>
      <c r="N22">
        <f t="shared" si="2"/>
        <v>-11.489228418420163</v>
      </c>
    </row>
    <row r="23" spans="1:14">
      <c r="A23">
        <f t="shared" si="10"/>
        <v>5</v>
      </c>
      <c r="B23" s="6">
        <v>0.03</v>
      </c>
      <c r="C23">
        <f t="shared" si="8"/>
        <v>7.5858827185042443E-3</v>
      </c>
      <c r="D23">
        <f t="shared" si="9"/>
        <v>2.5350486138366879E-3</v>
      </c>
      <c r="F23">
        <f t="shared" si="7"/>
        <v>20</v>
      </c>
      <c r="G23">
        <f t="shared" si="3"/>
        <v>31</v>
      </c>
      <c r="H23">
        <f t="shared" si="6"/>
        <v>0.87675858948834473</v>
      </c>
      <c r="I23">
        <f t="shared" si="0"/>
        <v>2.3457371119267796E-5</v>
      </c>
      <c r="J23">
        <f t="shared" si="4"/>
        <v>0</v>
      </c>
      <c r="K23">
        <f t="shared" si="1"/>
        <v>0</v>
      </c>
      <c r="L23">
        <f t="shared" si="5"/>
        <v>2.3457371119267796E-3</v>
      </c>
      <c r="N23">
        <f t="shared" si="2"/>
        <v>-11.540589448144658</v>
      </c>
    </row>
    <row r="24" spans="1:14">
      <c r="A24">
        <f t="shared" si="10"/>
        <v>6</v>
      </c>
      <c r="B24" s="6">
        <v>0.03</v>
      </c>
      <c r="C24">
        <f t="shared" si="8"/>
        <v>7.5858827185042443E-3</v>
      </c>
      <c r="D24">
        <f t="shared" si="9"/>
        <v>2.5350486138366879E-3</v>
      </c>
      <c r="F24">
        <f t="shared" si="7"/>
        <v>21</v>
      </c>
      <c r="G24">
        <f t="shared" si="3"/>
        <v>31</v>
      </c>
      <c r="H24">
        <f t="shared" si="6"/>
        <v>0.86556395254455454</v>
      </c>
      <c r="I24">
        <f t="shared" si="0"/>
        <v>2.3456743542252735E-5</v>
      </c>
      <c r="J24">
        <f t="shared" si="4"/>
        <v>1.1171180200247951E-2</v>
      </c>
      <c r="K24">
        <f t="shared" si="1"/>
        <v>0</v>
      </c>
      <c r="L24">
        <f t="shared" si="5"/>
        <v>2.3456743542252735E-3</v>
      </c>
      <c r="N24">
        <f t="shared" si="2"/>
        <v>-11.592169486018028</v>
      </c>
    </row>
    <row r="25" spans="1:14">
      <c r="F25">
        <f t="shared" si="7"/>
        <v>22</v>
      </c>
      <c r="G25">
        <f t="shared" si="3"/>
        <v>31</v>
      </c>
      <c r="H25">
        <f t="shared" si="6"/>
        <v>0.86554079530161709</v>
      </c>
      <c r="I25">
        <f t="shared" si="0"/>
        <v>2.3157242937425634E-5</v>
      </c>
      <c r="J25">
        <f t="shared" si="4"/>
        <v>0</v>
      </c>
      <c r="K25">
        <f t="shared" si="1"/>
        <v>0</v>
      </c>
      <c r="L25">
        <f t="shared" si="5"/>
        <v>2.3157242937425636E-3</v>
      </c>
      <c r="N25">
        <f t="shared" si="2"/>
        <v>-11.643969466181577</v>
      </c>
    </row>
    <row r="26" spans="1:14">
      <c r="F26">
        <f t="shared" si="7"/>
        <v>23</v>
      </c>
      <c r="G26">
        <f t="shared" si="3"/>
        <v>31</v>
      </c>
      <c r="H26">
        <f t="shared" si="6"/>
        <v>0.86551763867822706</v>
      </c>
      <c r="I26">
        <f t="shared" si="0"/>
        <v>2.3156623390020865E-5</v>
      </c>
      <c r="J26">
        <f t="shared" si="4"/>
        <v>0</v>
      </c>
      <c r="K26">
        <f t="shared" si="1"/>
        <v>0</v>
      </c>
      <c r="L26">
        <f t="shared" si="5"/>
        <v>2.3156623390020864E-3</v>
      </c>
      <c r="N26">
        <f t="shared" si="2"/>
        <v>-11.695960311977672</v>
      </c>
    </row>
    <row r="27" spans="1:14">
      <c r="F27">
        <f t="shared" si="7"/>
        <v>24</v>
      </c>
      <c r="G27">
        <f t="shared" si="3"/>
        <v>31</v>
      </c>
      <c r="H27">
        <f t="shared" si="6"/>
        <v>0.8544665285441323</v>
      </c>
      <c r="I27">
        <f t="shared" si="0"/>
        <v>2.3156003859191422E-5</v>
      </c>
      <c r="J27">
        <f t="shared" si="4"/>
        <v>1.1027954130235646E-2</v>
      </c>
      <c r="K27">
        <f t="shared" si="1"/>
        <v>4.2723326427206612</v>
      </c>
      <c r="L27">
        <f t="shared" si="5"/>
        <v>2.3156003859191423E-3</v>
      </c>
      <c r="N27">
        <f t="shared" si="2"/>
        <v>-11.74817285309717</v>
      </c>
    </row>
    <row r="28" spans="1:14">
      <c r="F28">
        <f t="shared" si="7"/>
        <v>25</v>
      </c>
      <c r="G28">
        <f t="shared" si="3"/>
        <v>32</v>
      </c>
      <c r="H28">
        <f t="shared" si="6"/>
        <v>0.85444188751799233</v>
      </c>
      <c r="I28">
        <f t="shared" si="0"/>
        <v>2.4641026139939324E-5</v>
      </c>
      <c r="J28">
        <f t="shared" si="4"/>
        <v>0</v>
      </c>
      <c r="K28">
        <f t="shared" si="1"/>
        <v>0</v>
      </c>
      <c r="L28">
        <f t="shared" si="5"/>
        <v>2.4641026139939322E-3</v>
      </c>
      <c r="N28">
        <f t="shared" si="2"/>
        <v>-7.5100525308270321</v>
      </c>
    </row>
    <row r="29" spans="1:14">
      <c r="F29">
        <f t="shared" si="7"/>
        <v>26</v>
      </c>
      <c r="G29">
        <f t="shared" si="3"/>
        <v>32</v>
      </c>
      <c r="H29">
        <f t="shared" si="6"/>
        <v>0.85441724720244805</v>
      </c>
      <c r="I29">
        <f t="shared" si="0"/>
        <v>2.464031554432329E-5</v>
      </c>
      <c r="J29">
        <f t="shared" si="4"/>
        <v>0</v>
      </c>
      <c r="K29">
        <f t="shared" si="1"/>
        <v>0</v>
      </c>
      <c r="L29">
        <f t="shared" si="5"/>
        <v>2.4640315544323292E-3</v>
      </c>
      <c r="N29">
        <f t="shared" si="2"/>
        <v>-7.5445599133754575</v>
      </c>
    </row>
    <row r="30" spans="1:14">
      <c r="F30">
        <f t="shared" si="7"/>
        <v>27</v>
      </c>
      <c r="G30">
        <f t="shared" si="3"/>
        <v>32</v>
      </c>
      <c r="H30">
        <f t="shared" si="6"/>
        <v>0.84791109856753377</v>
      </c>
      <c r="I30">
        <f t="shared" si="0"/>
        <v>2.4639604969199352E-5</v>
      </c>
      <c r="J30">
        <f t="shared" si="4"/>
        <v>6.4815090299450194E-3</v>
      </c>
      <c r="K30">
        <f t="shared" si="1"/>
        <v>0</v>
      </c>
      <c r="L30">
        <f t="shared" si="5"/>
        <v>2.4639604969199352E-3</v>
      </c>
      <c r="N30">
        <f t="shared" si="2"/>
        <v>-7.5792144095556537</v>
      </c>
    </row>
    <row r="31" spans="1:14">
      <c r="A31" t="s">
        <v>16</v>
      </c>
      <c r="B31" t="s">
        <v>27</v>
      </c>
      <c r="C31" t="s">
        <v>28</v>
      </c>
      <c r="D31" t="s">
        <v>27</v>
      </c>
      <c r="E31" t="s">
        <v>28</v>
      </c>
      <c r="F31">
        <f t="shared" si="7"/>
        <v>28</v>
      </c>
      <c r="G31">
        <f t="shared" si="3"/>
        <v>32</v>
      </c>
      <c r="H31">
        <f t="shared" si="6"/>
        <v>0.84788664658627277</v>
      </c>
      <c r="I31">
        <f t="shared" si="0"/>
        <v>2.4451981261040288E-5</v>
      </c>
      <c r="J31">
        <f t="shared" si="4"/>
        <v>0</v>
      </c>
      <c r="K31">
        <f t="shared" si="1"/>
        <v>0</v>
      </c>
      <c r="L31">
        <f t="shared" si="5"/>
        <v>2.4451981261040287E-3</v>
      </c>
      <c r="N31">
        <f t="shared" si="2"/>
        <v>-7.6140166468562471</v>
      </c>
    </row>
    <row r="32" spans="1:14">
      <c r="A32" t="s">
        <v>15</v>
      </c>
      <c r="B32" t="s">
        <v>29</v>
      </c>
      <c r="C32" t="s">
        <v>29</v>
      </c>
      <c r="D32" t="s">
        <v>18</v>
      </c>
      <c r="E32" t="s">
        <v>18</v>
      </c>
      <c r="F32">
        <f t="shared" si="7"/>
        <v>29</v>
      </c>
      <c r="G32">
        <f t="shared" si="3"/>
        <v>32</v>
      </c>
      <c r="H32">
        <f t="shared" si="6"/>
        <v>0.84786219531015572</v>
      </c>
      <c r="I32">
        <f t="shared" si="0"/>
        <v>2.4451276117082862E-5</v>
      </c>
      <c r="J32">
        <f t="shared" si="4"/>
        <v>0</v>
      </c>
      <c r="K32">
        <f t="shared" si="1"/>
        <v>0</v>
      </c>
      <c r="L32">
        <f t="shared" si="5"/>
        <v>2.4451276117082861E-3</v>
      </c>
      <c r="N32">
        <f t="shared" si="2"/>
        <v>-7.6489484844025286</v>
      </c>
    </row>
    <row r="33" spans="1:14">
      <c r="A33">
        <v>0</v>
      </c>
      <c r="B33">
        <v>1E-3</v>
      </c>
      <c r="C33">
        <v>1.1825799999999999E-3</v>
      </c>
      <c r="D33">
        <f>1-(1-B33)^(1/12)</f>
        <v>8.3371552197619714E-5</v>
      </c>
      <c r="E33">
        <f>1-(1-C33)^(1/12)</f>
        <v>9.860178848197787E-5</v>
      </c>
      <c r="F33">
        <f t="shared" si="7"/>
        <v>30</v>
      </c>
      <c r="G33">
        <f t="shared" si="3"/>
        <v>32</v>
      </c>
      <c r="H33">
        <f t="shared" si="6"/>
        <v>0.84140596156408587</v>
      </c>
      <c r="I33">
        <f t="shared" si="0"/>
        <v>2.4450570993460309E-5</v>
      </c>
      <c r="J33">
        <f t="shared" si="4"/>
        <v>6.4317831750763804E-3</v>
      </c>
      <c r="K33">
        <f t="shared" si="1"/>
        <v>0</v>
      </c>
      <c r="L33">
        <f t="shared" si="5"/>
        <v>2.445057099346031E-3</v>
      </c>
      <c r="N33">
        <f t="shared" si="2"/>
        <v>-7.6840292465640401</v>
      </c>
    </row>
    <row r="34" spans="1:14">
      <c r="A34">
        <v>1</v>
      </c>
      <c r="B34">
        <v>3.3300000000000002E-4</v>
      </c>
      <c r="C34">
        <v>4.7081E-4</v>
      </c>
      <c r="D34">
        <f t="shared" ref="D34:D97" si="11">1-(1-B34)^(1/12)</f>
        <v>2.7754236245014496E-5</v>
      </c>
      <c r="E34">
        <f t="shared" ref="E34:E97" si="12">1-(1-C34)^(1/12)</f>
        <v>3.9242635473279996E-5</v>
      </c>
      <c r="F34">
        <f t="shared" si="7"/>
        <v>31</v>
      </c>
      <c r="G34">
        <f t="shared" si="3"/>
        <v>32</v>
      </c>
      <c r="H34">
        <f t="shared" si="6"/>
        <v>0.84138169717735967</v>
      </c>
      <c r="I34">
        <f t="shared" si="0"/>
        <v>2.4264386726215196E-5</v>
      </c>
      <c r="J34">
        <f t="shared" si="4"/>
        <v>0</v>
      </c>
      <c r="K34">
        <f t="shared" si="1"/>
        <v>0</v>
      </c>
      <c r="L34">
        <f t="shared" si="5"/>
        <v>2.4264386726215196E-3</v>
      </c>
      <c r="N34">
        <f t="shared" si="2"/>
        <v>-7.719259568553813</v>
      </c>
    </row>
    <row r="35" spans="1:14">
      <c r="A35">
        <v>2</v>
      </c>
      <c r="B35" s="5">
        <v>9.2999999999999997E-5</v>
      </c>
      <c r="C35">
        <v>3.6619000000000002E-4</v>
      </c>
      <c r="D35">
        <f t="shared" si="11"/>
        <v>7.7503303633763565E-6</v>
      </c>
      <c r="E35">
        <f t="shared" si="12"/>
        <v>3.0520956220358997E-5</v>
      </c>
      <c r="F35">
        <f t="shared" si="7"/>
        <v>32</v>
      </c>
      <c r="G35">
        <f t="shared" si="3"/>
        <v>32</v>
      </c>
      <c r="H35">
        <f t="shared" si="6"/>
        <v>0.84135743349036762</v>
      </c>
      <c r="I35">
        <f t="shared" si="0"/>
        <v>2.4263686992091488E-5</v>
      </c>
      <c r="J35">
        <f t="shared" si="4"/>
        <v>0</v>
      </c>
      <c r="K35">
        <f t="shared" si="1"/>
        <v>0</v>
      </c>
      <c r="L35">
        <f t="shared" si="5"/>
        <v>2.4263686992091488E-3</v>
      </c>
      <c r="N35">
        <f t="shared" si="2"/>
        <v>-7.7546214612650912</v>
      </c>
    </row>
    <row r="36" spans="1:14">
      <c r="A36">
        <v>3</v>
      </c>
      <c r="B36" s="5">
        <v>9.0000000000000006E-5</v>
      </c>
      <c r="C36">
        <v>2.7778999999999998E-4</v>
      </c>
      <c r="D36">
        <f t="shared" si="11"/>
        <v>7.5003093927827891E-6</v>
      </c>
      <c r="E36">
        <f t="shared" si="12"/>
        <v>2.3152114551394654E-5</v>
      </c>
      <c r="F36">
        <f t="shared" si="7"/>
        <v>33</v>
      </c>
      <c r="G36">
        <f t="shared" si="3"/>
        <v>32</v>
      </c>
      <c r="H36">
        <f t="shared" si="6"/>
        <v>0.8349507316882897</v>
      </c>
      <c r="I36">
        <f t="shared" ref="I36:I63" si="13">H35*VLOOKUP(G36,Mortality_Table,IF($B$5="M",4,5),FALSE)</f>
        <v>2.4262987278146645E-5</v>
      </c>
      <c r="J36">
        <f t="shared" si="4"/>
        <v>6.3824388147996642E-3</v>
      </c>
      <c r="K36">
        <f t="shared" si="1"/>
        <v>0</v>
      </c>
      <c r="L36">
        <f t="shared" si="5"/>
        <v>2.4262987278146643E-3</v>
      </c>
      <c r="N36">
        <f t="shared" si="2"/>
        <v>-7.7901341134573547</v>
      </c>
    </row>
    <row r="37" spans="1:14">
      <c r="A37">
        <v>4</v>
      </c>
      <c r="B37" s="5">
        <v>8.7999999999999998E-5</v>
      </c>
      <c r="C37">
        <v>2.0562999999999999E-4</v>
      </c>
      <c r="D37">
        <f t="shared" si="11"/>
        <v>7.3336291277481536E-6</v>
      </c>
      <c r="E37">
        <f t="shared" si="12"/>
        <v>1.7137448547810408E-5</v>
      </c>
      <c r="F37">
        <f t="shared" si="7"/>
        <v>34</v>
      </c>
      <c r="G37">
        <f t="shared" si="3"/>
        <v>32</v>
      </c>
      <c r="H37">
        <f t="shared" si="6"/>
        <v>0.83492665345688122</v>
      </c>
      <c r="I37">
        <f t="shared" si="13"/>
        <v>2.4078231408487504E-5</v>
      </c>
      <c r="J37">
        <f t="shared" si="4"/>
        <v>0</v>
      </c>
      <c r="K37">
        <f t="shared" si="1"/>
        <v>0</v>
      </c>
      <c r="L37">
        <f t="shared" si="5"/>
        <v>2.4078231408487505E-3</v>
      </c>
      <c r="N37">
        <f t="shared" si="2"/>
        <v>-7.8257981681699098</v>
      </c>
    </row>
    <row r="38" spans="1:14">
      <c r="A38">
        <v>5</v>
      </c>
      <c r="B38" s="5">
        <v>8.6000000000000003E-5</v>
      </c>
      <c r="C38">
        <v>1.4955E-4</v>
      </c>
      <c r="D38">
        <f t="shared" si="11"/>
        <v>7.1669491682468944E-6</v>
      </c>
      <c r="E38">
        <f t="shared" si="12"/>
        <v>1.2463354308156482E-5</v>
      </c>
      <c r="F38">
        <f t="shared" si="7"/>
        <v>35</v>
      </c>
      <c r="G38">
        <f t="shared" si="3"/>
        <v>32</v>
      </c>
      <c r="H38">
        <f t="shared" si="6"/>
        <v>0.83490257591983852</v>
      </c>
      <c r="I38">
        <f t="shared" si="13"/>
        <v>2.4077537042693505E-5</v>
      </c>
      <c r="J38">
        <f t="shared" si="4"/>
        <v>0</v>
      </c>
      <c r="K38">
        <f t="shared" si="1"/>
        <v>0</v>
      </c>
      <c r="L38">
        <f t="shared" si="5"/>
        <v>2.4077537042693506E-3</v>
      </c>
      <c r="N38">
        <f t="shared" si="2"/>
        <v>-7.8615957870614093</v>
      </c>
    </row>
    <row r="39" spans="1:14">
      <c r="A39">
        <v>6</v>
      </c>
      <c r="B39" s="5">
        <v>8.5000000000000006E-5</v>
      </c>
      <c r="C39">
        <v>1.0906E-4</v>
      </c>
      <c r="D39">
        <f t="shared" si="11"/>
        <v>7.0836093031267922E-6</v>
      </c>
      <c r="E39">
        <f t="shared" si="12"/>
        <v>9.0887876529333056E-6</v>
      </c>
      <c r="F39">
        <f t="shared" si="7"/>
        <v>36</v>
      </c>
      <c r="G39">
        <f t="shared" si="3"/>
        <v>32</v>
      </c>
      <c r="H39">
        <f t="shared" si="6"/>
        <v>0.8285450260548366</v>
      </c>
      <c r="I39">
        <f t="shared" si="13"/>
        <v>2.4076842696923558E-5</v>
      </c>
      <c r="J39">
        <f t="shared" si="4"/>
        <v>6.3334730223049808E-3</v>
      </c>
      <c r="K39">
        <f t="shared" si="1"/>
        <v>4.142725130274183</v>
      </c>
      <c r="L39">
        <f t="shared" si="5"/>
        <v>2.4076842696923559E-3</v>
      </c>
      <c r="N39">
        <f t="shared" si="2"/>
        <v>-7.8975460244841731</v>
      </c>
    </row>
    <row r="40" spans="1:14">
      <c r="A40">
        <v>7</v>
      </c>
      <c r="B40" s="5">
        <v>8.6000000000000003E-5</v>
      </c>
      <c r="C40" s="5">
        <v>8.3300000000000005E-5</v>
      </c>
      <c r="D40">
        <f t="shared" si="11"/>
        <v>7.1669491682468944E-6</v>
      </c>
      <c r="E40">
        <f t="shared" si="12"/>
        <v>6.9419317078045495E-6</v>
      </c>
      <c r="F40">
        <f t="shared" si="7"/>
        <v>37</v>
      </c>
      <c r="G40">
        <f t="shared" si="3"/>
        <v>33</v>
      </c>
      <c r="H40">
        <f t="shared" si="6"/>
        <v>0.82851919864064294</v>
      </c>
      <c r="I40">
        <f t="shared" si="13"/>
        <v>2.5827414193641579E-5</v>
      </c>
      <c r="J40">
        <f t="shared" si="4"/>
        <v>0</v>
      </c>
      <c r="K40">
        <f t="shared" si="1"/>
        <v>0</v>
      </c>
      <c r="L40">
        <f t="shared" si="5"/>
        <v>2.5827414193641579E-3</v>
      </c>
      <c r="N40">
        <f t="shared" si="2"/>
        <v>-3.7732543569228145</v>
      </c>
    </row>
    <row r="41" spans="1:14">
      <c r="A41">
        <v>8</v>
      </c>
      <c r="B41" s="5">
        <v>8.7999999999999998E-5</v>
      </c>
      <c r="C41" s="5">
        <v>7.0900000000000002E-5</v>
      </c>
      <c r="D41">
        <f t="shared" si="11"/>
        <v>7.3336291277481536E-6</v>
      </c>
      <c r="E41">
        <f t="shared" si="12"/>
        <v>5.9085253382162861E-6</v>
      </c>
      <c r="F41">
        <f t="shared" si="7"/>
        <v>38</v>
      </c>
      <c r="G41">
        <f t="shared" si="3"/>
        <v>33</v>
      </c>
      <c r="H41">
        <f t="shared" si="6"/>
        <v>0.82849337203154172</v>
      </c>
      <c r="I41">
        <f t="shared" si="13"/>
        <v>2.5826609101216963E-5</v>
      </c>
      <c r="J41">
        <f t="shared" si="4"/>
        <v>0</v>
      </c>
      <c r="K41">
        <f t="shared" si="1"/>
        <v>0</v>
      </c>
      <c r="L41">
        <f t="shared" si="5"/>
        <v>2.5826609101216964E-3</v>
      </c>
      <c r="N41">
        <f t="shared" si="2"/>
        <v>-3.7919422480586422</v>
      </c>
    </row>
    <row r="42" spans="1:14">
      <c r="A42">
        <v>9</v>
      </c>
      <c r="B42" s="5">
        <v>9.2E-5</v>
      </c>
      <c r="C42" s="5">
        <v>6.9400000000000006E-5</v>
      </c>
      <c r="D42">
        <f t="shared" si="11"/>
        <v>7.6669899634618233E-6</v>
      </c>
      <c r="E42">
        <f t="shared" si="12"/>
        <v>5.7835172996290041E-6</v>
      </c>
      <c r="F42">
        <f t="shared" si="7"/>
        <v>39</v>
      </c>
      <c r="G42">
        <f t="shared" si="3"/>
        <v>33</v>
      </c>
      <c r="H42">
        <f t="shared" si="6"/>
        <v>0.82218269267421851</v>
      </c>
      <c r="I42">
        <f t="shared" si="13"/>
        <v>2.5825804033888694E-5</v>
      </c>
      <c r="J42">
        <f t="shared" si="4"/>
        <v>6.2848535532893796E-3</v>
      </c>
      <c r="K42">
        <f t="shared" si="1"/>
        <v>0</v>
      </c>
      <c r="L42">
        <f t="shared" si="5"/>
        <v>2.5825804033888693E-3</v>
      </c>
      <c r="N42">
        <f t="shared" si="2"/>
        <v>-3.8107097681589615</v>
      </c>
    </row>
    <row r="43" spans="1:14">
      <c r="A43">
        <v>10</v>
      </c>
      <c r="B43" s="5">
        <v>9.8999999999999994E-5</v>
      </c>
      <c r="C43" s="5">
        <v>7.6500000000000003E-5</v>
      </c>
      <c r="D43">
        <f t="shared" si="11"/>
        <v>8.2503743674688934E-6</v>
      </c>
      <c r="E43">
        <f t="shared" si="12"/>
        <v>6.3752235344161079E-6</v>
      </c>
      <c r="F43">
        <f t="shared" si="7"/>
        <v>40</v>
      </c>
      <c r="G43">
        <f t="shared" si="3"/>
        <v>33</v>
      </c>
      <c r="H43">
        <f t="shared" si="6"/>
        <v>0.82215706358674734</v>
      </c>
      <c r="I43">
        <f t="shared" si="13"/>
        <v>2.5629087471143845E-5</v>
      </c>
      <c r="J43">
        <f t="shared" si="4"/>
        <v>0</v>
      </c>
      <c r="K43">
        <f t="shared" si="1"/>
        <v>0</v>
      </c>
      <c r="L43">
        <f t="shared" si="5"/>
        <v>2.5629087471143843E-3</v>
      </c>
      <c r="N43">
        <f t="shared" si="2"/>
        <v>-3.8295572568692275</v>
      </c>
    </row>
    <row r="44" spans="1:14">
      <c r="A44">
        <v>11</v>
      </c>
      <c r="B44">
        <v>1.08E-4</v>
      </c>
      <c r="C44" s="5">
        <v>8.8999999999999995E-5</v>
      </c>
      <c r="D44">
        <f t="shared" si="11"/>
        <v>9.0004455307601816E-6</v>
      </c>
      <c r="E44">
        <f t="shared" si="12"/>
        <v>7.4169692220182881E-6</v>
      </c>
      <c r="F44">
        <f t="shared" si="7"/>
        <v>41</v>
      </c>
      <c r="G44">
        <f t="shared" si="3"/>
        <v>33</v>
      </c>
      <c r="H44">
        <f t="shared" si="6"/>
        <v>0.82213143529818633</v>
      </c>
      <c r="I44">
        <f t="shared" si="13"/>
        <v>2.5628288560961891E-5</v>
      </c>
      <c r="J44">
        <f t="shared" si="4"/>
        <v>0</v>
      </c>
      <c r="K44">
        <f t="shared" si="1"/>
        <v>0</v>
      </c>
      <c r="L44">
        <f t="shared" si="5"/>
        <v>2.5628288560961892E-3</v>
      </c>
      <c r="N44">
        <f t="shared" si="2"/>
        <v>-3.8484653805690279</v>
      </c>
    </row>
    <row r="45" spans="1:14">
      <c r="A45">
        <v>12</v>
      </c>
      <c r="B45">
        <v>1.2E-4</v>
      </c>
      <c r="C45">
        <v>1.038E-4</v>
      </c>
      <c r="D45">
        <f t="shared" si="11"/>
        <v>1.0000550042188472E-5</v>
      </c>
      <c r="E45">
        <f t="shared" si="12"/>
        <v>8.6504115510699364E-6</v>
      </c>
      <c r="F45">
        <f t="shared" si="7"/>
        <v>42</v>
      </c>
      <c r="G45">
        <f t="shared" si="3"/>
        <v>33</v>
      </c>
      <c r="H45">
        <f t="shared" si="6"/>
        <v>0.81586921516114297</v>
      </c>
      <c r="I45">
        <f t="shared" si="13"/>
        <v>2.5627489675683571E-5</v>
      </c>
      <c r="J45">
        <f t="shared" si="4"/>
        <v>6.2365926473676022E-3</v>
      </c>
      <c r="K45">
        <f t="shared" si="1"/>
        <v>0</v>
      </c>
      <c r="L45">
        <f t="shared" si="5"/>
        <v>2.5627489675683571E-3</v>
      </c>
      <c r="N45">
        <f t="shared" si="2"/>
        <v>-3.867454073216321</v>
      </c>
    </row>
    <row r="46" spans="1:14">
      <c r="A46">
        <v>13</v>
      </c>
      <c r="B46">
        <v>1.34E-4</v>
      </c>
      <c r="C46">
        <v>1.1836E-4</v>
      </c>
      <c r="D46">
        <f t="shared" si="11"/>
        <v>1.1167352544805276E-5</v>
      </c>
      <c r="E46">
        <f t="shared" si="12"/>
        <v>9.8638684431495705E-6</v>
      </c>
      <c r="F46">
        <f t="shared" si="7"/>
        <v>43</v>
      </c>
      <c r="G46">
        <f t="shared" si="3"/>
        <v>33</v>
      </c>
      <c r="H46">
        <f t="shared" si="6"/>
        <v>0.81584378287745873</v>
      </c>
      <c r="I46">
        <f t="shared" si="13"/>
        <v>2.5432283684258698E-5</v>
      </c>
      <c r="J46">
        <f t="shared" si="4"/>
        <v>0</v>
      </c>
      <c r="K46">
        <f t="shared" si="1"/>
        <v>0</v>
      </c>
      <c r="L46">
        <f t="shared" si="5"/>
        <v>2.5432283684258699E-3</v>
      </c>
      <c r="N46">
        <f t="shared" si="2"/>
        <v>-3.8865236784658692</v>
      </c>
    </row>
    <row r="47" spans="1:14">
      <c r="A47">
        <v>14</v>
      </c>
      <c r="B47">
        <v>1.46E-4</v>
      </c>
      <c r="C47">
        <v>1.3088999999999999E-4</v>
      </c>
      <c r="D47">
        <f t="shared" si="11"/>
        <v>1.216748089538644E-5</v>
      </c>
      <c r="E47">
        <f t="shared" si="12"/>
        <v>1.0908154409294823E-5</v>
      </c>
      <c r="F47">
        <f t="shared" si="7"/>
        <v>44</v>
      </c>
      <c r="G47">
        <f t="shared" si="3"/>
        <v>33</v>
      </c>
      <c r="H47">
        <f t="shared" si="6"/>
        <v>0.8158183513865499</v>
      </c>
      <c r="I47">
        <f t="shared" si="13"/>
        <v>2.5431490908846442E-5</v>
      </c>
      <c r="J47">
        <f t="shared" si="4"/>
        <v>0</v>
      </c>
      <c r="K47">
        <f t="shared" si="1"/>
        <v>0</v>
      </c>
      <c r="L47">
        <f t="shared" si="5"/>
        <v>2.5431490908846442E-3</v>
      </c>
      <c r="N47">
        <f t="shared" si="2"/>
        <v>-3.9056550178042864</v>
      </c>
    </row>
    <row r="48" spans="1:14">
      <c r="A48">
        <v>15</v>
      </c>
      <c r="B48">
        <v>1.56E-4</v>
      </c>
      <c r="C48">
        <v>1.4006000000000001E-4</v>
      </c>
      <c r="D48">
        <f t="shared" si="11"/>
        <v>1.3000929592665855E-5</v>
      </c>
      <c r="E48">
        <f t="shared" si="12"/>
        <v>1.167241598665214E-5</v>
      </c>
      <c r="F48">
        <f t="shared" si="7"/>
        <v>45</v>
      </c>
      <c r="G48">
        <f t="shared" si="3"/>
        <v>33</v>
      </c>
      <c r="H48">
        <f t="shared" si="6"/>
        <v>0.80960421835516982</v>
      </c>
      <c r="I48">
        <f t="shared" si="13"/>
        <v>2.5430698158146589E-5</v>
      </c>
      <c r="J48">
        <f t="shared" si="4"/>
        <v>6.1887023332218519E-3</v>
      </c>
      <c r="K48">
        <f t="shared" si="1"/>
        <v>0</v>
      </c>
      <c r="L48">
        <f t="shared" si="5"/>
        <v>2.5430698158146591E-3</v>
      </c>
      <c r="N48">
        <f t="shared" si="2"/>
        <v>-3.924867878792194</v>
      </c>
    </row>
    <row r="49" spans="1:14">
      <c r="A49">
        <v>16</v>
      </c>
      <c r="B49">
        <v>1.64E-4</v>
      </c>
      <c r="C49">
        <v>1.4631999999999999E-4</v>
      </c>
      <c r="D49">
        <f t="shared" si="11"/>
        <v>1.3667694052088564E-5</v>
      </c>
      <c r="E49">
        <f t="shared" si="12"/>
        <v>1.2194151135402898E-5</v>
      </c>
      <c r="F49">
        <f t="shared" si="7"/>
        <v>46</v>
      </c>
      <c r="G49">
        <f t="shared" si="3"/>
        <v>33</v>
      </c>
      <c r="H49">
        <f t="shared" si="6"/>
        <v>0.80957898136403139</v>
      </c>
      <c r="I49">
        <f t="shared" si="13"/>
        <v>2.5236991138480984E-5</v>
      </c>
      <c r="J49">
        <f t="shared" si="4"/>
        <v>0</v>
      </c>
      <c r="K49">
        <f t="shared" si="1"/>
        <v>0</v>
      </c>
      <c r="L49">
        <f t="shared" si="5"/>
        <v>2.5236991138480984E-3</v>
      </c>
      <c r="N49">
        <f t="shared" si="2"/>
        <v>-3.9441626091479143</v>
      </c>
    </row>
    <row r="50" spans="1:14">
      <c r="A50">
        <v>17</v>
      </c>
      <c r="B50">
        <v>1.7200000000000001E-4</v>
      </c>
      <c r="C50">
        <v>1.5187999999999999E-4</v>
      </c>
      <c r="D50">
        <f t="shared" si="11"/>
        <v>1.4334463401932673E-5</v>
      </c>
      <c r="E50">
        <f t="shared" si="12"/>
        <v>1.2657547803773816E-5</v>
      </c>
      <c r="F50">
        <f t="shared" si="7"/>
        <v>47</v>
      </c>
      <c r="G50">
        <f t="shared" si="3"/>
        <v>33</v>
      </c>
      <c r="H50">
        <f t="shared" si="6"/>
        <v>0.80955374515958067</v>
      </c>
      <c r="I50">
        <f t="shared" si="13"/>
        <v>2.5236204450730004E-5</v>
      </c>
      <c r="J50">
        <f t="shared" si="4"/>
        <v>0</v>
      </c>
      <c r="K50">
        <f t="shared" si="1"/>
        <v>0</v>
      </c>
      <c r="L50">
        <f t="shared" si="5"/>
        <v>2.5236204450730004E-3</v>
      </c>
      <c r="N50">
        <f t="shared" si="2"/>
        <v>-3.9635201843594308</v>
      </c>
    </row>
    <row r="51" spans="1:14">
      <c r="A51">
        <v>18</v>
      </c>
      <c r="B51">
        <v>1.7899999999999999E-4</v>
      </c>
      <c r="C51">
        <v>1.5692000000000001E-4</v>
      </c>
      <c r="D51">
        <f t="shared" si="11"/>
        <v>1.4917890594823291E-5</v>
      </c>
      <c r="E51">
        <f t="shared" si="12"/>
        <v>1.307760725666185E-5</v>
      </c>
      <c r="F51">
        <f t="shared" si="7"/>
        <v>48</v>
      </c>
      <c r="G51">
        <f t="shared" si="3"/>
        <v>33</v>
      </c>
      <c r="H51">
        <f t="shared" si="6"/>
        <v>0.80338732997668671</v>
      </c>
      <c r="I51">
        <f t="shared" si="13"/>
        <v>2.5235417787501661E-5</v>
      </c>
      <c r="J51">
        <f t="shared" si="4"/>
        <v>6.1411797651064522E-3</v>
      </c>
      <c r="K51">
        <f t="shared" si="1"/>
        <v>4.0169366498834336</v>
      </c>
      <c r="L51">
        <f t="shared" si="5"/>
        <v>2.5235417787501662E-3</v>
      </c>
      <c r="N51">
        <f t="shared" si="2"/>
        <v>-3.9829602467999687</v>
      </c>
    </row>
    <row r="52" spans="1:14">
      <c r="A52">
        <v>19</v>
      </c>
      <c r="B52">
        <v>1.85E-4</v>
      </c>
      <c r="C52">
        <v>1.6181999999999999E-4</v>
      </c>
      <c r="D52">
        <f t="shared" si="11"/>
        <v>1.5417974026044057E-5</v>
      </c>
      <c r="E52">
        <f t="shared" si="12"/>
        <v>1.3486000252194152E-5</v>
      </c>
      <c r="F52">
        <f t="shared" si="7"/>
        <v>49</v>
      </c>
      <c r="G52">
        <f t="shared" si="3"/>
        <v>34</v>
      </c>
      <c r="H52">
        <f t="shared" si="6"/>
        <v>0.80336007667216114</v>
      </c>
      <c r="I52">
        <f t="shared" si="13"/>
        <v>2.7253304525604858E-5</v>
      </c>
      <c r="J52">
        <f t="shared" si="4"/>
        <v>0</v>
      </c>
      <c r="K52">
        <f t="shared" si="1"/>
        <v>0</v>
      </c>
      <c r="L52">
        <f t="shared" si="5"/>
        <v>2.7253304525604858E-3</v>
      </c>
      <c r="N52">
        <f t="shared" si="2"/>
        <v>3.1587017791641983E-2</v>
      </c>
    </row>
    <row r="53" spans="1:14">
      <c r="A53">
        <v>20</v>
      </c>
      <c r="B53">
        <v>1.9100000000000001E-4</v>
      </c>
      <c r="C53">
        <v>1.674E-4</v>
      </c>
      <c r="D53">
        <f t="shared" si="11"/>
        <v>1.5918060208286455E-5</v>
      </c>
      <c r="E53">
        <f t="shared" si="12"/>
        <v>1.395107042823085E-5</v>
      </c>
      <c r="F53">
        <f t="shared" si="7"/>
        <v>50</v>
      </c>
      <c r="G53">
        <f t="shared" si="3"/>
        <v>34</v>
      </c>
      <c r="H53">
        <f t="shared" si="6"/>
        <v>0.80333282429214925</v>
      </c>
      <c r="I53">
        <f t="shared" si="13"/>
        <v>2.725238001188669E-5</v>
      </c>
      <c r="J53">
        <f t="shared" si="4"/>
        <v>0</v>
      </c>
      <c r="K53">
        <f t="shared" si="1"/>
        <v>0</v>
      </c>
      <c r="L53">
        <f t="shared" si="5"/>
        <v>2.725238001188669E-3</v>
      </c>
      <c r="N53">
        <f t="shared" si="2"/>
        <v>2.8984791642460938E-2</v>
      </c>
    </row>
    <row r="54" spans="1:14">
      <c r="A54">
        <v>21</v>
      </c>
      <c r="B54">
        <v>1.9699999999999999E-4</v>
      </c>
      <c r="C54">
        <v>1.7430000000000001E-4</v>
      </c>
      <c r="D54">
        <f t="shared" si="11"/>
        <v>1.6418149141439464E-5</v>
      </c>
      <c r="E54">
        <f t="shared" si="12"/>
        <v>1.452616049513189E-5</v>
      </c>
      <c r="F54">
        <f t="shared" si="7"/>
        <v>51</v>
      </c>
      <c r="G54">
        <f t="shared" si="3"/>
        <v>34</v>
      </c>
      <c r="H54">
        <f t="shared" si="6"/>
        <v>0.79721158424761474</v>
      </c>
      <c r="I54">
        <f t="shared" si="13"/>
        <v>2.7251455529530797E-5</v>
      </c>
      <c r="J54">
        <f t="shared" si="4"/>
        <v>6.0939885890050217E-3</v>
      </c>
      <c r="K54">
        <f t="shared" si="1"/>
        <v>0</v>
      </c>
      <c r="L54">
        <f t="shared" si="5"/>
        <v>2.7251455529530796E-3</v>
      </c>
      <c r="N54">
        <f t="shared" si="2"/>
        <v>2.6371559014349906E-2</v>
      </c>
    </row>
    <row r="55" spans="1:14">
      <c r="A55">
        <v>22</v>
      </c>
      <c r="B55">
        <v>2.03E-4</v>
      </c>
      <c r="C55">
        <v>1.8299000000000001E-4</v>
      </c>
      <c r="D55">
        <f t="shared" si="11"/>
        <v>1.6918240825725128E-5</v>
      </c>
      <c r="E55">
        <f t="shared" si="12"/>
        <v>1.5250445770220722E-5</v>
      </c>
      <c r="F55">
        <f t="shared" si="7"/>
        <v>52</v>
      </c>
      <c r="G55">
        <f t="shared" si="3"/>
        <v>34</v>
      </c>
      <c r="H55">
        <f t="shared" si="6"/>
        <v>0.79718454044288178</v>
      </c>
      <c r="I55">
        <f t="shared" si="13"/>
        <v>2.7043804732980562E-5</v>
      </c>
      <c r="J55">
        <f t="shared" si="4"/>
        <v>0</v>
      </c>
      <c r="K55">
        <f t="shared" si="1"/>
        <v>0</v>
      </c>
      <c r="L55">
        <f t="shared" si="5"/>
        <v>2.7043804732980563E-3</v>
      </c>
      <c r="N55">
        <f t="shared" si="2"/>
        <v>2.3747272958015576E-2</v>
      </c>
    </row>
    <row r="56" spans="1:14">
      <c r="A56">
        <v>23</v>
      </c>
      <c r="B56">
        <v>2.1000000000000001E-4</v>
      </c>
      <c r="C56">
        <v>1.9366000000000001E-4</v>
      </c>
      <c r="D56">
        <f t="shared" si="11"/>
        <v>1.7501684601017864E-5</v>
      </c>
      <c r="E56">
        <f t="shared" si="12"/>
        <v>1.613976596248623E-5</v>
      </c>
      <c r="F56">
        <f t="shared" si="7"/>
        <v>53</v>
      </c>
      <c r="G56">
        <f t="shared" si="3"/>
        <v>34</v>
      </c>
      <c r="H56">
        <f t="shared" si="6"/>
        <v>0.79715749755555565</v>
      </c>
      <c r="I56">
        <f t="shared" si="13"/>
        <v>2.7042887326122853E-5</v>
      </c>
      <c r="J56">
        <f t="shared" si="4"/>
        <v>0</v>
      </c>
      <c r="K56">
        <f t="shared" si="1"/>
        <v>0</v>
      </c>
      <c r="L56">
        <f t="shared" si="5"/>
        <v>2.7042887326122851E-3</v>
      </c>
      <c r="N56">
        <f t="shared" si="2"/>
        <v>2.1132647133847542E-2</v>
      </c>
    </row>
    <row r="57" spans="1:14">
      <c r="A57">
        <v>24</v>
      </c>
      <c r="B57">
        <v>2.1800000000000001E-4</v>
      </c>
      <c r="C57">
        <v>2.0620999999999999E-4</v>
      </c>
      <c r="D57">
        <f t="shared" si="11"/>
        <v>1.8168482072256076E-5</v>
      </c>
      <c r="E57">
        <f t="shared" si="12"/>
        <v>1.7185791006402162E-5</v>
      </c>
      <c r="F57">
        <f t="shared" si="7"/>
        <v>54</v>
      </c>
      <c r="G57">
        <f t="shared" si="3"/>
        <v>34</v>
      </c>
      <c r="H57">
        <f t="shared" si="6"/>
        <v>0.79108331230097251</v>
      </c>
      <c r="I57">
        <f t="shared" si="13"/>
        <v>2.704196995038633E-5</v>
      </c>
      <c r="J57">
        <f t="shared" si="4"/>
        <v>6.0471432846327788E-3</v>
      </c>
      <c r="K57">
        <f t="shared" si="1"/>
        <v>0</v>
      </c>
      <c r="L57">
        <f t="shared" si="5"/>
        <v>2.7041969950386329E-3</v>
      </c>
      <c r="N57">
        <f t="shared" si="2"/>
        <v>1.8506961228462852E-2</v>
      </c>
    </row>
    <row r="58" spans="1:14">
      <c r="A58">
        <v>25</v>
      </c>
      <c r="B58">
        <v>2.2699999999999999E-4</v>
      </c>
      <c r="C58">
        <v>2.2013999999999999E-4</v>
      </c>
      <c r="D58">
        <f t="shared" si="11"/>
        <v>1.8918635073639223E-5</v>
      </c>
      <c r="E58">
        <f t="shared" si="12"/>
        <v>1.8346851225037319E-5</v>
      </c>
      <c r="F58">
        <f t="shared" si="7"/>
        <v>55</v>
      </c>
      <c r="G58">
        <f t="shared" si="3"/>
        <v>34</v>
      </c>
      <c r="H58">
        <f t="shared" si="6"/>
        <v>0.7910564763855793</v>
      </c>
      <c r="I58">
        <f t="shared" si="13"/>
        <v>2.6835915393248994E-5</v>
      </c>
      <c r="J58">
        <f t="shared" si="4"/>
        <v>0</v>
      </c>
      <c r="K58">
        <f t="shared" si="1"/>
        <v>0</v>
      </c>
      <c r="L58">
        <f t="shared" si="5"/>
        <v>2.6835915393248993E-3</v>
      </c>
      <c r="N58">
        <f t="shared" si="2"/>
        <v>1.5870168063961562E-2</v>
      </c>
    </row>
    <row r="59" spans="1:14">
      <c r="A59">
        <v>26</v>
      </c>
      <c r="B59">
        <v>2.3800000000000001E-4</v>
      </c>
      <c r="C59">
        <v>2.3482E-4</v>
      </c>
      <c r="D59">
        <f t="shared" si="11"/>
        <v>1.9835497148457115E-5</v>
      </c>
      <c r="E59">
        <f t="shared" si="12"/>
        <v>1.957043970757244E-5</v>
      </c>
      <c r="F59">
        <f t="shared" si="7"/>
        <v>56</v>
      </c>
      <c r="G59">
        <f t="shared" si="3"/>
        <v>34</v>
      </c>
      <c r="H59">
        <f t="shared" si="6"/>
        <v>0.79102964138054066</v>
      </c>
      <c r="I59">
        <f t="shared" si="13"/>
        <v>2.6835005038620352E-5</v>
      </c>
      <c r="J59">
        <f t="shared" si="4"/>
        <v>0</v>
      </c>
      <c r="K59">
        <f t="shared" si="1"/>
        <v>0</v>
      </c>
      <c r="L59">
        <f t="shared" si="5"/>
        <v>2.6835005038620351E-3</v>
      </c>
      <c r="N59">
        <f t="shared" si="2"/>
        <v>1.3242821480032148E-2</v>
      </c>
    </row>
    <row r="60" spans="1:14">
      <c r="A60">
        <v>27</v>
      </c>
      <c r="B60">
        <v>2.5000000000000001E-4</v>
      </c>
      <c r="C60">
        <v>2.4949E-4</v>
      </c>
      <c r="D60">
        <f t="shared" si="11"/>
        <v>2.0835720867418139E-5</v>
      </c>
      <c r="E60">
        <f t="shared" si="12"/>
        <v>2.0793211135461398E-5</v>
      </c>
      <c r="F60">
        <f t="shared" si="7"/>
        <v>57</v>
      </c>
      <c r="G60">
        <f t="shared" si="3"/>
        <v>34</v>
      </c>
      <c r="H60">
        <f t="shared" si="6"/>
        <v>0.78500214919945255</v>
      </c>
      <c r="I60">
        <f t="shared" si="13"/>
        <v>2.6834094714873667E-5</v>
      </c>
      <c r="J60">
        <f t="shared" si="4"/>
        <v>6.000658086373253E-3</v>
      </c>
      <c r="K60">
        <f t="shared" si="1"/>
        <v>0</v>
      </c>
      <c r="L60">
        <f t="shared" si="5"/>
        <v>2.6834094714873668E-3</v>
      </c>
      <c r="N60">
        <f t="shared" si="2"/>
        <v>1.0604359848556868E-2</v>
      </c>
    </row>
    <row r="61" spans="1:14">
      <c r="A61">
        <v>28</v>
      </c>
      <c r="B61">
        <v>2.6400000000000002E-4</v>
      </c>
      <c r="C61">
        <v>2.6392000000000001E-4</v>
      </c>
      <c r="D61">
        <f t="shared" si="11"/>
        <v>2.2002662449116528E-5</v>
      </c>
      <c r="E61">
        <f t="shared" si="12"/>
        <v>2.1995994168966249E-5</v>
      </c>
      <c r="F61">
        <f t="shared" si="7"/>
        <v>58</v>
      </c>
      <c r="G61">
        <f t="shared" si="3"/>
        <v>34</v>
      </c>
      <c r="H61">
        <f t="shared" si="6"/>
        <v>0.78497551957532585</v>
      </c>
      <c r="I61">
        <f t="shared" si="13"/>
        <v>2.6629624126643625E-5</v>
      </c>
      <c r="J61">
        <f t="shared" si="4"/>
        <v>0</v>
      </c>
      <c r="K61">
        <f t="shared" si="1"/>
        <v>0</v>
      </c>
      <c r="L61">
        <f t="shared" si="5"/>
        <v>2.6629624126643624E-3</v>
      </c>
      <c r="N61">
        <f t="shared" si="2"/>
        <v>7.9547357572108714E-3</v>
      </c>
    </row>
    <row r="62" spans="1:14">
      <c r="A62">
        <v>29</v>
      </c>
      <c r="B62">
        <v>2.7999999999999998E-4</v>
      </c>
      <c r="C62">
        <v>2.7806E-4</v>
      </c>
      <c r="D62">
        <f t="shared" si="11"/>
        <v>2.3336328313527943E-5</v>
      </c>
      <c r="E62">
        <f t="shared" si="12"/>
        <v>2.3174620285115743E-5</v>
      </c>
      <c r="F62">
        <f t="shared" si="7"/>
        <v>59</v>
      </c>
      <c r="G62">
        <f t="shared" si="3"/>
        <v>34</v>
      </c>
      <c r="H62">
        <f t="shared" si="6"/>
        <v>0.78494889085455577</v>
      </c>
      <c r="I62">
        <f t="shared" si="13"/>
        <v>2.6628720770032627E-5</v>
      </c>
      <c r="J62">
        <f t="shared" si="4"/>
        <v>0</v>
      </c>
      <c r="K62">
        <f t="shared" si="1"/>
        <v>0</v>
      </c>
      <c r="L62">
        <f t="shared" si="5"/>
        <v>2.6628720770032629E-3</v>
      </c>
      <c r="N62">
        <f>N63/$B$12+L62-K62</f>
        <v>5.3143444459366959E-3</v>
      </c>
    </row>
    <row r="63" spans="1:14">
      <c r="A63">
        <v>30</v>
      </c>
      <c r="B63">
        <v>2.99E-4</v>
      </c>
      <c r="C63">
        <v>2.9035999999999998E-4</v>
      </c>
      <c r="D63">
        <f t="shared" si="11"/>
        <v>2.492008194066031E-5</v>
      </c>
      <c r="E63">
        <f t="shared" si="12"/>
        <v>2.4199887396880726E-5</v>
      </c>
      <c r="F63">
        <f t="shared" si="7"/>
        <v>60</v>
      </c>
      <c r="G63">
        <f t="shared" si="3"/>
        <v>34</v>
      </c>
      <c r="H63">
        <f>H62-I63-J63</f>
        <v>0.77896773281106901</v>
      </c>
      <c r="I63">
        <f t="shared" si="13"/>
        <v>2.662781744406619E-5</v>
      </c>
      <c r="J63">
        <f t="shared" si="4"/>
        <v>5.9545302260426486E-3</v>
      </c>
      <c r="K63" s="7">
        <v>0</v>
      </c>
      <c r="L63">
        <f t="shared" si="5"/>
        <v>2.6627817444066192E-3</v>
      </c>
      <c r="N63">
        <f>L63-K63</f>
        <v>2.6627817444066192E-3</v>
      </c>
    </row>
    <row r="64" spans="1:14">
      <c r="A64">
        <v>31</v>
      </c>
      <c r="B64">
        <v>3.21E-4</v>
      </c>
      <c r="C64">
        <v>3.0065000000000002E-4</v>
      </c>
      <c r="D64">
        <f t="shared" si="11"/>
        <v>2.6753936401058276E-5</v>
      </c>
      <c r="E64">
        <f t="shared" si="12"/>
        <v>2.5057619741919446E-5</v>
      </c>
    </row>
    <row r="65" spans="1:5">
      <c r="A65">
        <v>32</v>
      </c>
      <c r="B65">
        <v>3.4600000000000001E-4</v>
      </c>
      <c r="C65">
        <v>3.1018000000000002E-4</v>
      </c>
      <c r="D65">
        <f t="shared" si="11"/>
        <v>2.8837906830503357E-5</v>
      </c>
      <c r="E65">
        <f t="shared" si="12"/>
        <v>2.5852008811555471E-5</v>
      </c>
    </row>
    <row r="66" spans="1:5">
      <c r="A66">
        <v>33</v>
      </c>
      <c r="B66">
        <v>3.7399999999999998E-4</v>
      </c>
      <c r="C66">
        <v>3.2046E-4</v>
      </c>
      <c r="D66">
        <f t="shared" si="11"/>
        <v>3.1172010429680874E-5</v>
      </c>
      <c r="E66">
        <f t="shared" si="12"/>
        <v>2.6708923166918197E-5</v>
      </c>
    </row>
    <row r="67" spans="1:5">
      <c r="A67">
        <v>34</v>
      </c>
      <c r="B67">
        <v>4.0700000000000003E-4</v>
      </c>
      <c r="C67">
        <v>3.3358999999999998E-4</v>
      </c>
      <c r="D67">
        <f t="shared" si="11"/>
        <v>3.3922995183899296E-5</v>
      </c>
      <c r="E67">
        <f t="shared" si="12"/>
        <v>2.7803417937954933E-5</v>
      </c>
    </row>
    <row r="68" spans="1:5">
      <c r="A68">
        <v>35</v>
      </c>
      <c r="B68">
        <v>4.4299999999999998E-4</v>
      </c>
      <c r="C68">
        <v>3.5419999999999999E-4</v>
      </c>
      <c r="D68">
        <f t="shared" si="11"/>
        <v>3.6924164410367943E-5</v>
      </c>
      <c r="E68">
        <f t="shared" si="12"/>
        <v>2.9521459536163697E-5</v>
      </c>
    </row>
    <row r="69" spans="1:5">
      <c r="A69">
        <v>36</v>
      </c>
      <c r="B69">
        <v>4.8299999999999998E-4</v>
      </c>
      <c r="C69">
        <v>3.8526000000000001E-4</v>
      </c>
      <c r="D69">
        <f t="shared" si="11"/>
        <v>4.0258913094337601E-5</v>
      </c>
      <c r="E69">
        <f t="shared" si="12"/>
        <v>3.2110670416418685E-5</v>
      </c>
    </row>
    <row r="70" spans="1:5">
      <c r="A70">
        <v>37</v>
      </c>
      <c r="B70">
        <v>5.2800000000000004E-4</v>
      </c>
      <c r="C70">
        <v>4.2808000000000001E-4</v>
      </c>
      <c r="D70">
        <f t="shared" si="11"/>
        <v>4.4010651593318073E-5</v>
      </c>
      <c r="E70">
        <f t="shared" si="12"/>
        <v>3.5680334475096664E-5</v>
      </c>
    </row>
    <row r="71" spans="1:5">
      <c r="A71">
        <v>38</v>
      </c>
      <c r="B71">
        <v>5.7700000000000004E-4</v>
      </c>
      <c r="C71">
        <v>4.8288999999999998E-4</v>
      </c>
      <c r="D71">
        <f t="shared" si="11"/>
        <v>4.8096054061086413E-5</v>
      </c>
      <c r="E71">
        <f t="shared" si="12"/>
        <v>4.0249742367715058E-5</v>
      </c>
    </row>
    <row r="72" spans="1:5">
      <c r="A72">
        <v>39</v>
      </c>
      <c r="B72">
        <v>6.3199999999999997E-4</v>
      </c>
      <c r="C72">
        <v>5.4843000000000003E-4</v>
      </c>
      <c r="D72">
        <f t="shared" si="11"/>
        <v>5.2681928607190009E-5</v>
      </c>
      <c r="E72">
        <f t="shared" si="12"/>
        <v>4.5713991978613144E-5</v>
      </c>
    </row>
    <row r="73" spans="1:5">
      <c r="A73">
        <v>40</v>
      </c>
      <c r="B73">
        <v>6.9200000000000002E-4</v>
      </c>
      <c r="C73">
        <v>6.2003999999999998E-4</v>
      </c>
      <c r="D73">
        <f t="shared" si="11"/>
        <v>5.7684964701376629E-5</v>
      </c>
      <c r="E73">
        <f t="shared" si="12"/>
        <v>5.1684689658437755E-5</v>
      </c>
    </row>
    <row r="74" spans="1:5">
      <c r="A74">
        <v>41</v>
      </c>
      <c r="B74">
        <v>7.5799999999999999E-4</v>
      </c>
      <c r="C74">
        <v>6.9342999999999998E-4</v>
      </c>
      <c r="D74">
        <f t="shared" si="11"/>
        <v>6.3188622452914345E-5</v>
      </c>
      <c r="E74">
        <f t="shared" si="12"/>
        <v>5.7804207087785997E-5</v>
      </c>
    </row>
    <row r="75" spans="1:5">
      <c r="A75">
        <v>42</v>
      </c>
      <c r="B75">
        <v>8.3000000000000001E-4</v>
      </c>
      <c r="C75">
        <v>7.6471000000000004E-4</v>
      </c>
      <c r="D75">
        <f t="shared" si="11"/>
        <v>6.919299278063118E-5</v>
      </c>
      <c r="E75">
        <f t="shared" si="12"/>
        <v>6.3748179651823556E-5</v>
      </c>
    </row>
    <row r="76" spans="1:5">
      <c r="A76">
        <v>43</v>
      </c>
      <c r="B76">
        <v>9.0799999999999995E-4</v>
      </c>
      <c r="C76">
        <v>8.3301999999999996E-4</v>
      </c>
      <c r="D76">
        <f t="shared" si="11"/>
        <v>7.5698174890836967E-5</v>
      </c>
      <c r="E76">
        <f t="shared" si="12"/>
        <v>6.9444851425015663E-5</v>
      </c>
    </row>
    <row r="77" spans="1:5">
      <c r="A77">
        <v>44</v>
      </c>
      <c r="B77">
        <v>9.9200000000000004E-4</v>
      </c>
      <c r="C77">
        <v>8.9924000000000004E-4</v>
      </c>
      <c r="D77">
        <f t="shared" si="11"/>
        <v>8.2704276282763445E-5</v>
      </c>
      <c r="E77">
        <f t="shared" si="12"/>
        <v>7.4967569694384117E-5</v>
      </c>
    </row>
    <row r="78" spans="1:5">
      <c r="A78">
        <v>45</v>
      </c>
      <c r="B78">
        <v>1.083E-3</v>
      </c>
      <c r="C78">
        <v>9.6464999999999995E-4</v>
      </c>
      <c r="D78">
        <f t="shared" si="11"/>
        <v>9.0294828864578847E-5</v>
      </c>
      <c r="E78">
        <f t="shared" si="12"/>
        <v>8.0423063745893586E-5</v>
      </c>
    </row>
    <row r="79" spans="1:5">
      <c r="A79">
        <v>46</v>
      </c>
      <c r="B79">
        <v>1.1820000000000001E-3</v>
      </c>
      <c r="C79">
        <v>1.0327100000000001E-3</v>
      </c>
      <c r="D79">
        <f t="shared" si="11"/>
        <v>9.8553402707257654E-5</v>
      </c>
      <c r="E79">
        <f t="shared" si="12"/>
        <v>8.6099927553595634E-5</v>
      </c>
    </row>
    <row r="80" spans="1:5">
      <c r="A80">
        <v>47</v>
      </c>
      <c r="B80">
        <v>1.2869999999999999E-3</v>
      </c>
      <c r="C80">
        <v>1.1091300000000001E-3</v>
      </c>
      <c r="D80">
        <f t="shared" si="11"/>
        <v>1.0731331616153916E-4</v>
      </c>
      <c r="E80">
        <f t="shared" si="12"/>
        <v>9.2474518956664475E-5</v>
      </c>
    </row>
    <row r="81" spans="1:5">
      <c r="A81">
        <v>48</v>
      </c>
      <c r="B81">
        <v>1.4009999999999999E-3</v>
      </c>
      <c r="C81">
        <v>1.1972199999999999E-3</v>
      </c>
      <c r="D81">
        <f t="shared" si="11"/>
        <v>1.1682503526511123E-4</v>
      </c>
      <c r="E81">
        <f t="shared" si="12"/>
        <v>9.9823120706110657E-5</v>
      </c>
    </row>
    <row r="82" spans="1:5">
      <c r="A82">
        <v>49</v>
      </c>
      <c r="B82">
        <v>1.524E-3</v>
      </c>
      <c r="C82">
        <v>1.2998199999999999E-3</v>
      </c>
      <c r="D82">
        <f t="shared" si="11"/>
        <v>1.2708879596956546E-4</v>
      </c>
      <c r="E82">
        <f t="shared" si="12"/>
        <v>1.0838291771042563E-4</v>
      </c>
    </row>
    <row r="83" spans="1:5">
      <c r="A83">
        <v>50</v>
      </c>
      <c r="B83">
        <v>1.6570000000000001E-3</v>
      </c>
      <c r="C83">
        <v>1.4215300000000001E-3</v>
      </c>
      <c r="D83">
        <f t="shared" si="11"/>
        <v>1.381883130237016E-4</v>
      </c>
      <c r="E83">
        <f t="shared" si="12"/>
        <v>1.1853808483186512E-4</v>
      </c>
    </row>
    <row r="84" spans="1:5">
      <c r="A84">
        <v>51</v>
      </c>
      <c r="B84">
        <v>1.8010000000000001E-3</v>
      </c>
      <c r="C84">
        <v>1.5637299999999999E-3</v>
      </c>
      <c r="D84">
        <f t="shared" si="11"/>
        <v>1.5020736360882303E-4</v>
      </c>
      <c r="E84">
        <f t="shared" si="12"/>
        <v>1.3040432176913974E-4</v>
      </c>
    </row>
    <row r="85" spans="1:5">
      <c r="A85">
        <v>52</v>
      </c>
      <c r="B85">
        <v>1.9559999999999998E-3</v>
      </c>
      <c r="C85">
        <v>1.7246099999999999E-3</v>
      </c>
      <c r="D85">
        <f t="shared" si="11"/>
        <v>1.6314631237401844E-4</v>
      </c>
      <c r="E85">
        <f t="shared" si="12"/>
        <v>1.438312262859176E-4</v>
      </c>
    </row>
    <row r="86" spans="1:5">
      <c r="A86">
        <v>53</v>
      </c>
      <c r="B86">
        <v>2.124E-3</v>
      </c>
      <c r="C86">
        <v>1.90343E-3</v>
      </c>
      <c r="D86">
        <f t="shared" si="11"/>
        <v>1.7717254368676549E-4</v>
      </c>
      <c r="E86">
        <f t="shared" si="12"/>
        <v>1.587577154021913E-4</v>
      </c>
    </row>
    <row r="87" spans="1:5">
      <c r="A87">
        <v>54</v>
      </c>
      <c r="B87">
        <v>2.3059999999999999E-3</v>
      </c>
      <c r="C87">
        <v>2.09816E-3</v>
      </c>
      <c r="D87">
        <f t="shared" si="11"/>
        <v>1.923700705522835E-4</v>
      </c>
      <c r="E87">
        <f t="shared" si="12"/>
        <v>1.750150348681645E-4</v>
      </c>
    </row>
    <row r="88" spans="1:5">
      <c r="A88">
        <v>55</v>
      </c>
      <c r="B88">
        <v>2.5019999999999999E-3</v>
      </c>
      <c r="C88">
        <v>2.2995400000000001E-3</v>
      </c>
      <c r="D88">
        <f t="shared" si="11"/>
        <v>2.0873948027078093E-4</v>
      </c>
      <c r="E88">
        <f t="shared" si="12"/>
        <v>1.9183059835259364E-4</v>
      </c>
    </row>
    <row r="89" spans="1:5">
      <c r="A89">
        <v>56</v>
      </c>
      <c r="B89">
        <v>2.7139999999999998E-3</v>
      </c>
      <c r="C89">
        <v>2.5020400000000001E-3</v>
      </c>
      <c r="D89">
        <f t="shared" si="11"/>
        <v>2.2644848793507144E-4</v>
      </c>
      <c r="E89">
        <f t="shared" si="12"/>
        <v>2.0874282126759347E-4</v>
      </c>
    </row>
    <row r="90" spans="1:5">
      <c r="A90">
        <v>57</v>
      </c>
      <c r="B90">
        <v>2.9420000000000002E-3</v>
      </c>
      <c r="C90">
        <v>2.7037699999999999E-3</v>
      </c>
      <c r="D90">
        <f t="shared" si="11"/>
        <v>2.4549787619687624E-4</v>
      </c>
      <c r="E90">
        <f t="shared" si="12"/>
        <v>2.2559386554432681E-4</v>
      </c>
    </row>
    <row r="91" spans="1:5">
      <c r="A91">
        <v>58</v>
      </c>
      <c r="B91">
        <v>3.1870000000000002E-3</v>
      </c>
      <c r="C91">
        <v>2.9068100000000001E-3</v>
      </c>
      <c r="D91">
        <f t="shared" si="11"/>
        <v>2.6597206486100866E-4</v>
      </c>
      <c r="E91">
        <f t="shared" si="12"/>
        <v>2.4255749293622397E-4</v>
      </c>
    </row>
    <row r="92" spans="1:5">
      <c r="A92">
        <v>59</v>
      </c>
      <c r="B92">
        <v>3.4529999999999999E-3</v>
      </c>
      <c r="C92">
        <v>3.1165699999999999E-3</v>
      </c>
      <c r="D92">
        <f t="shared" si="11"/>
        <v>2.8820640753124405E-4</v>
      </c>
      <c r="E92">
        <f t="shared" si="12"/>
        <v>2.6008588999515414E-4</v>
      </c>
    </row>
    <row r="93" spans="1:5">
      <c r="A93">
        <v>60</v>
      </c>
      <c r="B93">
        <v>3.754E-3</v>
      </c>
      <c r="C93">
        <v>3.3314199999999999E-3</v>
      </c>
      <c r="D93">
        <f t="shared" si="11"/>
        <v>3.1337288364363669E-4</v>
      </c>
      <c r="E93">
        <f t="shared" si="12"/>
        <v>2.7804313341783793E-4</v>
      </c>
    </row>
    <row r="94" spans="1:5">
      <c r="A94">
        <v>61</v>
      </c>
      <c r="B94">
        <v>4.1089999999999998E-3</v>
      </c>
      <c r="C94">
        <v>3.5578900000000002E-3</v>
      </c>
      <c r="D94">
        <f t="shared" si="11"/>
        <v>3.4306323512045545E-4</v>
      </c>
      <c r="E94">
        <f t="shared" si="12"/>
        <v>2.9697542268447563E-4</v>
      </c>
    </row>
    <row r="95" spans="1:5">
      <c r="A95">
        <v>62</v>
      </c>
      <c r="B95">
        <v>4.5380000000000004E-3</v>
      </c>
      <c r="C95">
        <v>3.8106799999999999E-3</v>
      </c>
      <c r="D95">
        <f t="shared" si="11"/>
        <v>3.7895550983413351E-4</v>
      </c>
      <c r="E95">
        <f t="shared" si="12"/>
        <v>3.1811265303927083E-4</v>
      </c>
    </row>
    <row r="96" spans="1:5">
      <c r="A96">
        <v>63</v>
      </c>
      <c r="B96">
        <v>5.0600000000000003E-3</v>
      </c>
      <c r="C96">
        <v>4.1042700000000001E-3</v>
      </c>
      <c r="D96">
        <f t="shared" si="11"/>
        <v>4.2264775503786378E-4</v>
      </c>
      <c r="E96">
        <f t="shared" si="12"/>
        <v>3.4266757878376186E-4</v>
      </c>
    </row>
    <row r="97" spans="1:5">
      <c r="A97">
        <v>64</v>
      </c>
      <c r="B97">
        <v>5.6940000000000003E-3</v>
      </c>
      <c r="C97">
        <v>4.4542999999999996E-3</v>
      </c>
      <c r="D97">
        <f t="shared" si="11"/>
        <v>4.7574284998719296E-4</v>
      </c>
      <c r="E97">
        <f t="shared" si="12"/>
        <v>3.7195163816106103E-4</v>
      </c>
    </row>
    <row r="98" spans="1:5">
      <c r="A98">
        <v>65</v>
      </c>
      <c r="B98">
        <v>6.4580000000000002E-3</v>
      </c>
      <c r="C98">
        <v>4.8688899999999998E-3</v>
      </c>
      <c r="D98">
        <f t="shared" ref="D98:D133" si="14">1-(1-B98)^(1/12)</f>
        <v>5.3976619859341657E-4</v>
      </c>
      <c r="E98">
        <f t="shared" ref="E98:E133" si="15">1-(1-C98)^(1/12)</f>
        <v>4.0664910083876293E-4</v>
      </c>
    </row>
    <row r="99" spans="1:5">
      <c r="A99">
        <v>66</v>
      </c>
      <c r="B99">
        <v>7.3730000000000002E-3</v>
      </c>
      <c r="C99">
        <v>5.3567900000000002E-3</v>
      </c>
      <c r="D99">
        <f t="shared" si="14"/>
        <v>6.1650279311120659E-4</v>
      </c>
      <c r="E99">
        <f t="shared" si="15"/>
        <v>4.4749892950135539E-4</v>
      </c>
    </row>
    <row r="100" spans="1:5">
      <c r="A100">
        <v>67</v>
      </c>
      <c r="B100">
        <v>8.4569999999999992E-3</v>
      </c>
      <c r="C100">
        <v>5.9274499999999999E-3</v>
      </c>
      <c r="D100">
        <f t="shared" si="14"/>
        <v>7.0749655031476788E-4</v>
      </c>
      <c r="E100">
        <f t="shared" si="15"/>
        <v>4.9530121962348961E-4</v>
      </c>
    </row>
    <row r="101" spans="1:5">
      <c r="A101">
        <v>68</v>
      </c>
      <c r="B101">
        <v>9.7300000000000008E-3</v>
      </c>
      <c r="C101">
        <v>6.5971099999999998E-3</v>
      </c>
      <c r="D101">
        <f t="shared" si="14"/>
        <v>8.1447195118766746E-4</v>
      </c>
      <c r="E101">
        <f t="shared" si="15"/>
        <v>5.5142850008937927E-4</v>
      </c>
    </row>
    <row r="102" spans="1:5">
      <c r="A102">
        <v>69</v>
      </c>
      <c r="B102">
        <v>1.1209999999999999E-2</v>
      </c>
      <c r="C102">
        <v>7.3811700000000003E-3</v>
      </c>
      <c r="D102">
        <f t="shared" si="14"/>
        <v>9.3900099559596217E-4</v>
      </c>
      <c r="E102">
        <f t="shared" si="15"/>
        <v>6.1718826324697051E-4</v>
      </c>
    </row>
    <row r="103" spans="1:5">
      <c r="A103">
        <v>70</v>
      </c>
      <c r="B103">
        <v>1.2917E-2</v>
      </c>
      <c r="C103">
        <v>8.2479800000000002E-3</v>
      </c>
      <c r="D103">
        <f t="shared" si="14"/>
        <v>1.0828424585775931E-3</v>
      </c>
      <c r="E103">
        <f t="shared" si="15"/>
        <v>6.8994377810371876E-4</v>
      </c>
    </row>
    <row r="104" spans="1:5">
      <c r="A104">
        <v>71</v>
      </c>
      <c r="B104">
        <v>1.4593E-2</v>
      </c>
      <c r="C104">
        <v>9.1906100000000001E-3</v>
      </c>
      <c r="D104">
        <f t="shared" si="14"/>
        <v>1.2242937054763869E-3</v>
      </c>
      <c r="E104">
        <f t="shared" si="15"/>
        <v>7.6912942002560492E-4</v>
      </c>
    </row>
    <row r="105" spans="1:5">
      <c r="A105">
        <v>72</v>
      </c>
      <c r="B105">
        <v>1.6486000000000001E-2</v>
      </c>
      <c r="C105">
        <v>1.0226789999999999E-2</v>
      </c>
      <c r="D105">
        <f t="shared" si="14"/>
        <v>1.3843248021238042E-3</v>
      </c>
      <c r="E105">
        <f t="shared" si="15"/>
        <v>8.5625344767226164E-4</v>
      </c>
    </row>
    <row r="106" spans="1:5">
      <c r="A106">
        <v>73</v>
      </c>
      <c r="B106">
        <v>1.8626E-2</v>
      </c>
      <c r="C106">
        <v>1.1399060000000001E-2</v>
      </c>
      <c r="D106">
        <f t="shared" si="14"/>
        <v>1.5655772402478618E-3</v>
      </c>
      <c r="E106">
        <f t="shared" si="15"/>
        <v>9.5492104494820929E-4</v>
      </c>
    </row>
    <row r="107" spans="1:5">
      <c r="A107">
        <v>74</v>
      </c>
      <c r="B107">
        <v>2.1042000000000002E-2</v>
      </c>
      <c r="C107">
        <v>1.276418E-2</v>
      </c>
      <c r="D107">
        <f t="shared" si="14"/>
        <v>1.770642084686691E-3</v>
      </c>
      <c r="E107">
        <f t="shared" si="15"/>
        <v>1.0699556928190912E-3</v>
      </c>
    </row>
    <row r="108" spans="1:5">
      <c r="A108">
        <v>75</v>
      </c>
      <c r="B108">
        <v>2.3772999999999999E-2</v>
      </c>
      <c r="C108">
        <v>1.4387840000000001E-2</v>
      </c>
      <c r="D108">
        <f t="shared" si="14"/>
        <v>2.0030027776121173E-3</v>
      </c>
      <c r="E108">
        <f t="shared" si="15"/>
        <v>1.2069667470685497E-3</v>
      </c>
    </row>
    <row r="109" spans="1:5">
      <c r="A109">
        <v>76</v>
      </c>
      <c r="B109">
        <v>2.6856999999999999E-2</v>
      </c>
      <c r="C109">
        <v>1.632948E-2</v>
      </c>
      <c r="D109">
        <f t="shared" si="14"/>
        <v>2.26611509679564E-3</v>
      </c>
      <c r="E109">
        <f t="shared" si="15"/>
        <v>1.3710821567263221E-3</v>
      </c>
    </row>
    <row r="110" spans="1:5">
      <c r="A110">
        <v>77</v>
      </c>
      <c r="B110">
        <v>3.0342000000000001E-2</v>
      </c>
      <c r="C110">
        <v>1.8636429999999999E-2</v>
      </c>
      <c r="D110">
        <f t="shared" si="14"/>
        <v>2.5643603107599056E-3</v>
      </c>
      <c r="E110">
        <f t="shared" si="15"/>
        <v>1.5664615210075894E-3</v>
      </c>
    </row>
    <row r="111" spans="1:5">
      <c r="A111">
        <v>78</v>
      </c>
      <c r="B111">
        <v>3.4278999999999997E-2</v>
      </c>
      <c r="C111">
        <v>2.1351189999999999E-2</v>
      </c>
      <c r="D111">
        <f t="shared" si="14"/>
        <v>2.902471857126887E-3</v>
      </c>
      <c r="E111">
        <f t="shared" si="15"/>
        <v>1.7969189374469341E-3</v>
      </c>
    </row>
    <row r="112" spans="1:5">
      <c r="A112">
        <v>79</v>
      </c>
      <c r="B112">
        <v>3.8726999999999998E-2</v>
      </c>
      <c r="C112">
        <v>2.4498329999999999E-2</v>
      </c>
      <c r="D112">
        <f t="shared" si="14"/>
        <v>3.2859918782303099E-3</v>
      </c>
      <c r="E112">
        <f t="shared" si="15"/>
        <v>2.0648159101404051E-3</v>
      </c>
    </row>
    <row r="113" spans="1:5">
      <c r="A113">
        <v>80</v>
      </c>
      <c r="B113">
        <v>4.3751999999999999E-2</v>
      </c>
      <c r="C113">
        <v>2.8090650000000002E-2</v>
      </c>
      <c r="D113">
        <f t="shared" si="14"/>
        <v>3.7212244651627646E-3</v>
      </c>
      <c r="E113">
        <f t="shared" si="15"/>
        <v>2.371578369512517E-3</v>
      </c>
    </row>
    <row r="114" spans="1:5">
      <c r="A114">
        <v>81</v>
      </c>
      <c r="B114">
        <v>4.9429000000000001E-2</v>
      </c>
      <c r="C114">
        <v>3.2132290000000001E-2</v>
      </c>
      <c r="D114">
        <f t="shared" si="14"/>
        <v>4.2154584325121425E-3</v>
      </c>
      <c r="E114">
        <f t="shared" si="15"/>
        <v>2.7179550095102201E-3</v>
      </c>
    </row>
    <row r="115" spans="1:5">
      <c r="A115">
        <v>82</v>
      </c>
      <c r="B115">
        <v>5.5842999999999997E-2</v>
      </c>
      <c r="C115">
        <v>3.6620489999999999E-2</v>
      </c>
      <c r="D115">
        <f t="shared" si="14"/>
        <v>4.7771208469595816E-3</v>
      </c>
      <c r="E115">
        <f t="shared" si="15"/>
        <v>3.1041598884369304E-3</v>
      </c>
    </row>
    <row r="116" spans="1:5">
      <c r="A116">
        <v>83</v>
      </c>
      <c r="B116">
        <v>6.3089000000000006E-2</v>
      </c>
      <c r="C116">
        <v>4.1549019999999999E-2</v>
      </c>
      <c r="D116">
        <f t="shared" si="14"/>
        <v>5.4158631490942577E-3</v>
      </c>
      <c r="E116">
        <f t="shared" si="15"/>
        <v>3.530159302259972E-3</v>
      </c>
    </row>
    <row r="117" spans="1:5">
      <c r="A117">
        <v>84</v>
      </c>
      <c r="B117">
        <v>7.1275000000000005E-2</v>
      </c>
      <c r="C117">
        <v>4.6911099999999997E-2</v>
      </c>
      <c r="D117">
        <f t="shared" si="14"/>
        <v>6.1429379639094117E-3</v>
      </c>
      <c r="E117">
        <f t="shared" si="15"/>
        <v>3.9959195907125489E-3</v>
      </c>
    </row>
    <row r="118" spans="1:5">
      <c r="A118">
        <v>85</v>
      </c>
      <c r="B118">
        <v>8.0522999999999997E-2</v>
      </c>
      <c r="C118">
        <v>5.2877529999999999E-2</v>
      </c>
      <c r="D118">
        <f t="shared" si="14"/>
        <v>6.9714400488114503E-3</v>
      </c>
      <c r="E118">
        <f t="shared" si="15"/>
        <v>4.5170066649283802E-3</v>
      </c>
    </row>
    <row r="119" spans="1:5">
      <c r="A119">
        <v>86</v>
      </c>
      <c r="B119">
        <v>9.0970999999999996E-2</v>
      </c>
      <c r="C119">
        <v>5.9502310000000003E-2</v>
      </c>
      <c r="D119">
        <f t="shared" si="14"/>
        <v>7.9166868335004414E-3</v>
      </c>
      <c r="E119">
        <f t="shared" si="15"/>
        <v>5.0991289433233167E-3</v>
      </c>
    </row>
    <row r="120" spans="1:5">
      <c r="A120">
        <v>87</v>
      </c>
      <c r="B120">
        <v>0.10277500000000001</v>
      </c>
      <c r="C120">
        <v>6.6842009999999993E-2</v>
      </c>
      <c r="D120">
        <f t="shared" si="14"/>
        <v>8.9966699396875072E-3</v>
      </c>
      <c r="E120">
        <f t="shared" si="15"/>
        <v>5.7484769952020898E-3</v>
      </c>
    </row>
    <row r="121" spans="1:5">
      <c r="A121">
        <v>88</v>
      </c>
      <c r="B121">
        <v>0.11611</v>
      </c>
      <c r="C121">
        <v>7.495541E-2</v>
      </c>
      <c r="D121">
        <f t="shared" si="14"/>
        <v>1.0232509521674649E-2</v>
      </c>
      <c r="E121">
        <f t="shared" si="15"/>
        <v>6.4717455629257348E-3</v>
      </c>
    </row>
    <row r="122" spans="1:5">
      <c r="A122">
        <v>89</v>
      </c>
      <c r="B122">
        <v>0.13117599999999999</v>
      </c>
      <c r="C122">
        <v>8.3903160000000004E-2</v>
      </c>
      <c r="D122">
        <f t="shared" si="14"/>
        <v>1.164950503619222E-2</v>
      </c>
      <c r="E122">
        <f t="shared" si="15"/>
        <v>7.2761662058008492E-3</v>
      </c>
    </row>
    <row r="123" spans="1:5">
      <c r="A123">
        <v>90</v>
      </c>
      <c r="B123">
        <v>0.148197</v>
      </c>
      <c r="C123">
        <v>9.3747269999999994E-2</v>
      </c>
      <c r="D123">
        <f t="shared" si="14"/>
        <v>1.3277729445985598E-2</v>
      </c>
      <c r="E123">
        <f t="shared" si="15"/>
        <v>8.1695348477990315E-3</v>
      </c>
    </row>
    <row r="124" spans="1:5">
      <c r="A124">
        <v>91</v>
      </c>
      <c r="B124">
        <v>0.16742599999999999</v>
      </c>
      <c r="C124">
        <v>0.10455053</v>
      </c>
      <c r="D124">
        <f t="shared" si="14"/>
        <v>1.5153444354514711E-2</v>
      </c>
      <c r="E124">
        <f t="shared" si="15"/>
        <v>9.1602441159576165E-3</v>
      </c>
    </row>
    <row r="125" spans="1:5">
      <c r="A125">
        <v>92</v>
      </c>
      <c r="B125">
        <v>0.18915000000000001</v>
      </c>
      <c r="C125">
        <v>0.11637582</v>
      </c>
      <c r="D125">
        <f t="shared" si="14"/>
        <v>1.73209210878289E-2</v>
      </c>
      <c r="E125">
        <f t="shared" si="15"/>
        <v>1.0257318063709109E-2</v>
      </c>
    </row>
    <row r="126" spans="1:5">
      <c r="A126">
        <v>93</v>
      </c>
      <c r="B126">
        <v>0.21369299999999999</v>
      </c>
      <c r="C126">
        <v>0.12928529999999999</v>
      </c>
      <c r="D126">
        <f t="shared" si="14"/>
        <v>1.9834651049476681E-2</v>
      </c>
      <c r="E126">
        <f t="shared" si="15"/>
        <v>1.1470449492923529E-2</v>
      </c>
    </row>
    <row r="127" spans="1:5">
      <c r="A127">
        <v>94</v>
      </c>
      <c r="B127">
        <v>0.241421</v>
      </c>
      <c r="C127">
        <v>0.14333947</v>
      </c>
      <c r="D127">
        <f t="shared" si="14"/>
        <v>2.2762626067819758E-2</v>
      </c>
      <c r="E127">
        <f t="shared" si="15"/>
        <v>1.2810040039373694E-2</v>
      </c>
    </row>
    <row r="128" spans="1:5">
      <c r="A128">
        <v>95</v>
      </c>
      <c r="B128">
        <v>0.27274599999999999</v>
      </c>
      <c r="C128">
        <v>0.15859616000000001</v>
      </c>
      <c r="D128">
        <f t="shared" si="14"/>
        <v>2.6190867226429937E-2</v>
      </c>
      <c r="E128">
        <f t="shared" si="15"/>
        <v>1.4287249911449917E-2</v>
      </c>
    </row>
    <row r="129" spans="1:5">
      <c r="A129">
        <v>96</v>
      </c>
      <c r="B129">
        <v>0.30813600000000002</v>
      </c>
      <c r="C129">
        <v>0.17510936999999999</v>
      </c>
      <c r="D129">
        <f t="shared" si="14"/>
        <v>3.0230782801269229E-2</v>
      </c>
      <c r="E129">
        <f t="shared" si="15"/>
        <v>1.5914051060414547E-2</v>
      </c>
    </row>
    <row r="130" spans="1:5">
      <c r="A130">
        <v>97</v>
      </c>
      <c r="B130">
        <v>0.34811799999999998</v>
      </c>
      <c r="C130">
        <v>0.19292809999999999</v>
      </c>
      <c r="D130">
        <f t="shared" si="14"/>
        <v>3.5029398543512946E-2</v>
      </c>
      <c r="E130">
        <f t="shared" si="15"/>
        <v>1.7703298856649674E-2</v>
      </c>
    </row>
    <row r="131" spans="1:5">
      <c r="A131">
        <v>98</v>
      </c>
      <c r="B131">
        <v>0.39328800000000003</v>
      </c>
      <c r="C131">
        <v>0.21209508999999999</v>
      </c>
      <c r="D131">
        <f t="shared" si="14"/>
        <v>4.0786647992585356E-2</v>
      </c>
      <c r="E131">
        <f t="shared" si="15"/>
        <v>1.9668816848982029E-2</v>
      </c>
    </row>
    <row r="132" spans="1:5">
      <c r="A132">
        <v>99</v>
      </c>
      <c r="B132">
        <v>0.44431799999999999</v>
      </c>
      <c r="C132">
        <v>0.23264547999999999</v>
      </c>
      <c r="D132">
        <f t="shared" si="14"/>
        <v>4.7783884207008964E-2</v>
      </c>
      <c r="E132">
        <f t="shared" si="15"/>
        <v>2.1825497873453448E-2</v>
      </c>
    </row>
    <row r="133" spans="1:5">
      <c r="A133">
        <v>100</v>
      </c>
      <c r="B133">
        <v>1</v>
      </c>
      <c r="C133">
        <v>1</v>
      </c>
      <c r="D133">
        <f t="shared" si="14"/>
        <v>1</v>
      </c>
      <c r="E133">
        <f t="shared" si="15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5E3B8-9BD1-4D7B-B5DC-5D02D9613E39}">
  <sheetPr codeName="Sheet3"/>
  <dimension ref="A1"/>
  <sheetViews>
    <sheetView workbookViewId="0">
      <selection activeCell="F29" sqref="F29"/>
    </sheetView>
  </sheetViews>
  <sheetFormatPr baseColWidth="10" defaultColWidth="8.83203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03BE-574C-D340-8968-BA14158334BD}">
  <sheetPr codeName="Sheet4"/>
  <dimension ref="A1:O63"/>
  <sheetViews>
    <sheetView workbookViewId="0">
      <selection activeCell="L19" sqref="L19"/>
    </sheetView>
  </sheetViews>
  <sheetFormatPr baseColWidth="10" defaultColWidth="8.83203125" defaultRowHeight="15"/>
  <cols>
    <col min="1" max="1" width="14.5" bestFit="1" customWidth="1"/>
    <col min="3" max="3" width="22.33203125" bestFit="1" customWidth="1"/>
    <col min="8" max="8" width="11.83203125" bestFit="1" customWidth="1"/>
    <col min="9" max="9" width="15.1640625" bestFit="1" customWidth="1"/>
  </cols>
  <sheetData>
    <row r="1" spans="1:15">
      <c r="A1" t="s">
        <v>23</v>
      </c>
    </row>
    <row r="2" spans="1:15">
      <c r="C2" t="s">
        <v>8</v>
      </c>
      <c r="F2" t="s">
        <v>10</v>
      </c>
      <c r="G2" t="s">
        <v>15</v>
      </c>
      <c r="H2" t="s">
        <v>14</v>
      </c>
      <c r="I2" t="s">
        <v>11</v>
      </c>
      <c r="J2" t="s">
        <v>12</v>
      </c>
      <c r="K2" t="s">
        <v>21</v>
      </c>
    </row>
    <row r="3" spans="1:15">
      <c r="A3" t="s">
        <v>4</v>
      </c>
      <c r="B3" s="1" t="s">
        <v>5</v>
      </c>
      <c r="F3">
        <v>0</v>
      </c>
      <c r="G3">
        <f>B4</f>
        <v>30</v>
      </c>
      <c r="H3">
        <v>1</v>
      </c>
      <c r="I3">
        <f>IF(MOD(F3,12)=0,$B$9,0)*H3</f>
        <v>5</v>
      </c>
      <c r="J3">
        <v>0</v>
      </c>
      <c r="K3">
        <f t="shared" ref="K3:K61" si="0">K4*$B$12+J3-I3</f>
        <v>975.02594112975157</v>
      </c>
    </row>
    <row r="4" spans="1:15">
      <c r="A4" t="s">
        <v>0</v>
      </c>
      <c r="B4">
        <v>30</v>
      </c>
      <c r="F4">
        <v>1</v>
      </c>
      <c r="G4">
        <f>G3</f>
        <v>30</v>
      </c>
      <c r="H4">
        <f>H3*(1-VLOOKUP(G4,$A$20:$C$26,3,))</f>
        <v>0.99995915749330866</v>
      </c>
      <c r="I4">
        <f t="shared" ref="I4:I63" si="1">IF(MOD(F4,12)=0,$B$9,0)*H4</f>
        <v>0</v>
      </c>
      <c r="J4">
        <f>(H3-H4)*$B$10</f>
        <v>4.084250669134093E-2</v>
      </c>
      <c r="K4">
        <f t="shared" si="0"/>
        <v>980.02594112975157</v>
      </c>
    </row>
    <row r="5" spans="1:15">
      <c r="A5" t="s">
        <v>1</v>
      </c>
      <c r="B5" t="s">
        <v>6</v>
      </c>
      <c r="F5">
        <v>2</v>
      </c>
      <c r="G5">
        <f t="shared" ref="G5:G63" si="2">IF(MOD(F5,12)=1,G4+1,G4)</f>
        <v>30</v>
      </c>
      <c r="H5">
        <f t="shared" ref="H5:H62" si="3">H4*(1-VLOOKUP(G5,$A$20:$C$26,3,))</f>
        <v>0.99991831665472763</v>
      </c>
      <c r="I5">
        <f t="shared" si="1"/>
        <v>0</v>
      </c>
      <c r="J5">
        <f t="shared" ref="J5:J63" si="4">(H4-H5)*$B$10</f>
        <v>4.0840838581024386E-2</v>
      </c>
      <c r="K5">
        <f t="shared" si="0"/>
        <v>979.98509862306025</v>
      </c>
    </row>
    <row r="6" spans="1:15">
      <c r="A6" t="s">
        <v>2</v>
      </c>
      <c r="B6" t="s">
        <v>7</v>
      </c>
      <c r="F6">
        <v>3</v>
      </c>
      <c r="G6">
        <f t="shared" si="2"/>
        <v>30</v>
      </c>
      <c r="H6">
        <f t="shared" si="3"/>
        <v>0.99987747748418887</v>
      </c>
      <c r="I6">
        <f t="shared" si="1"/>
        <v>0</v>
      </c>
      <c r="J6">
        <f t="shared" si="4"/>
        <v>4.0839170538764513E-2</v>
      </c>
      <c r="K6">
        <f t="shared" si="0"/>
        <v>979.94425778447919</v>
      </c>
    </row>
    <row r="7" spans="1:15">
      <c r="A7" t="s">
        <v>3</v>
      </c>
      <c r="F7">
        <f>F6+1</f>
        <v>4</v>
      </c>
      <c r="G7">
        <f t="shared" si="2"/>
        <v>30</v>
      </c>
      <c r="H7">
        <f t="shared" si="3"/>
        <v>0.9998366399816242</v>
      </c>
      <c r="I7">
        <f t="shared" si="1"/>
        <v>0</v>
      </c>
      <c r="J7">
        <f t="shared" si="4"/>
        <v>4.0837502564672334E-2</v>
      </c>
      <c r="K7">
        <f t="shared" si="0"/>
        <v>979.9034186139404</v>
      </c>
    </row>
    <row r="8" spans="1:15">
      <c r="A8" t="s">
        <v>9</v>
      </c>
      <c r="B8">
        <f>5*12</f>
        <v>60</v>
      </c>
      <c r="F8">
        <f t="shared" ref="F8:F63" si="5">F7+1</f>
        <v>5</v>
      </c>
      <c r="G8">
        <f t="shared" si="2"/>
        <v>30</v>
      </c>
      <c r="H8">
        <f t="shared" si="3"/>
        <v>0.99979580414696545</v>
      </c>
      <c r="I8">
        <f t="shared" si="1"/>
        <v>0</v>
      </c>
      <c r="J8">
        <f t="shared" si="4"/>
        <v>4.0835834658747849E-2</v>
      </c>
      <c r="K8">
        <f t="shared" si="0"/>
        <v>979.86258111137568</v>
      </c>
    </row>
    <row r="9" spans="1:15">
      <c r="A9" t="s">
        <v>13</v>
      </c>
      <c r="B9">
        <v>5</v>
      </c>
      <c r="F9">
        <f t="shared" si="5"/>
        <v>6</v>
      </c>
      <c r="G9">
        <f t="shared" si="2"/>
        <v>30</v>
      </c>
      <c r="H9">
        <f t="shared" si="3"/>
        <v>0.99975496998014457</v>
      </c>
      <c r="I9">
        <f t="shared" si="1"/>
        <v>0</v>
      </c>
      <c r="J9">
        <f t="shared" si="4"/>
        <v>4.0834166820880036E-2</v>
      </c>
      <c r="K9">
        <f t="shared" si="0"/>
        <v>979.82174527671691</v>
      </c>
    </row>
    <row r="10" spans="1:15">
      <c r="A10" t="s">
        <v>19</v>
      </c>
      <c r="B10">
        <v>1000</v>
      </c>
      <c r="F10">
        <f t="shared" si="5"/>
        <v>7</v>
      </c>
      <c r="G10">
        <f t="shared" si="2"/>
        <v>30</v>
      </c>
      <c r="H10">
        <f t="shared" si="3"/>
        <v>0.9997141374810935</v>
      </c>
      <c r="I10">
        <f t="shared" si="1"/>
        <v>0</v>
      </c>
      <c r="J10">
        <f t="shared" si="4"/>
        <v>4.0832499051068893E-2</v>
      </c>
      <c r="K10">
        <f t="shared" si="0"/>
        <v>979.78091110989601</v>
      </c>
    </row>
    <row r="11" spans="1:15">
      <c r="A11" t="s">
        <v>20</v>
      </c>
      <c r="B11" s="3">
        <v>0.05</v>
      </c>
      <c r="F11">
        <f t="shared" si="5"/>
        <v>8</v>
      </c>
      <c r="G11">
        <f t="shared" si="2"/>
        <v>30</v>
      </c>
      <c r="H11">
        <f t="shared" si="3"/>
        <v>0.99967330664974396</v>
      </c>
      <c r="I11">
        <f t="shared" si="1"/>
        <v>0</v>
      </c>
      <c r="J11">
        <f t="shared" si="4"/>
        <v>4.0830831349536467E-2</v>
      </c>
      <c r="K11">
        <f t="shared" si="0"/>
        <v>979.74007861084499</v>
      </c>
      <c r="M11">
        <f>0.9999467/1</f>
        <v>0.99994669999999997</v>
      </c>
    </row>
    <row r="12" spans="1:15">
      <c r="A12" t="s">
        <v>22</v>
      </c>
      <c r="B12">
        <v>1</v>
      </c>
      <c r="F12">
        <f t="shared" si="5"/>
        <v>9</v>
      </c>
      <c r="G12">
        <f t="shared" si="2"/>
        <v>30</v>
      </c>
      <c r="H12">
        <f t="shared" si="3"/>
        <v>0.99963247748602801</v>
      </c>
      <c r="I12">
        <f t="shared" si="1"/>
        <v>0</v>
      </c>
      <c r="J12">
        <f t="shared" si="4"/>
        <v>4.082916371594969E-2</v>
      </c>
      <c r="K12">
        <f t="shared" si="0"/>
        <v>979.69924777949541</v>
      </c>
      <c r="M12">
        <f>1-M11</f>
        <v>5.3300000000033876E-5</v>
      </c>
    </row>
    <row r="13" spans="1:15">
      <c r="F13">
        <f t="shared" si="5"/>
        <v>10</v>
      </c>
      <c r="G13">
        <f t="shared" si="2"/>
        <v>30</v>
      </c>
      <c r="H13">
        <f t="shared" si="3"/>
        <v>0.99959164998987737</v>
      </c>
      <c r="I13">
        <f t="shared" si="1"/>
        <v>0</v>
      </c>
      <c r="J13">
        <f t="shared" si="4"/>
        <v>4.0827496150641629E-2</v>
      </c>
      <c r="K13">
        <f t="shared" si="0"/>
        <v>979.65841861577951</v>
      </c>
    </row>
    <row r="14" spans="1:15">
      <c r="F14">
        <f t="shared" si="5"/>
        <v>11</v>
      </c>
      <c r="G14">
        <f t="shared" si="2"/>
        <v>30</v>
      </c>
      <c r="H14">
        <f t="shared" si="3"/>
        <v>0.99955082416122409</v>
      </c>
      <c r="I14">
        <f t="shared" si="1"/>
        <v>0</v>
      </c>
      <c r="J14">
        <f t="shared" si="4"/>
        <v>4.0825828653279217E-2</v>
      </c>
      <c r="K14">
        <f t="shared" si="0"/>
        <v>979.61759111962886</v>
      </c>
    </row>
    <row r="15" spans="1:15">
      <c r="F15">
        <f t="shared" si="5"/>
        <v>12</v>
      </c>
      <c r="G15">
        <f t="shared" si="2"/>
        <v>30</v>
      </c>
      <c r="H15">
        <f t="shared" si="3"/>
        <v>0.9995099999999999</v>
      </c>
      <c r="I15">
        <f t="shared" si="1"/>
        <v>4.9975499999999995</v>
      </c>
      <c r="J15">
        <f t="shared" si="4"/>
        <v>4.0824161224195521E-2</v>
      </c>
      <c r="K15">
        <f t="shared" si="0"/>
        <v>979.57676529097557</v>
      </c>
      <c r="O15" s="2"/>
    </row>
    <row r="16" spans="1:15">
      <c r="F16">
        <f t="shared" si="5"/>
        <v>13</v>
      </c>
      <c r="G16">
        <f t="shared" si="2"/>
        <v>31</v>
      </c>
      <c r="H16">
        <f t="shared" si="3"/>
        <v>0.99946709423400948</v>
      </c>
      <c r="I16">
        <f t="shared" si="1"/>
        <v>0</v>
      </c>
      <c r="J16">
        <f t="shared" si="4"/>
        <v>4.2905765990419731E-2</v>
      </c>
      <c r="K16">
        <f t="shared" si="0"/>
        <v>984.53349112975138</v>
      </c>
    </row>
    <row r="17" spans="1:11">
      <c r="F17">
        <f t="shared" si="5"/>
        <v>14</v>
      </c>
      <c r="G17">
        <f t="shared" si="2"/>
        <v>31</v>
      </c>
      <c r="H17">
        <f t="shared" si="3"/>
        <v>0.99942419030982621</v>
      </c>
      <c r="I17">
        <f t="shared" si="1"/>
        <v>0</v>
      </c>
      <c r="J17">
        <f t="shared" si="4"/>
        <v>4.2903924183268494E-2</v>
      </c>
      <c r="K17">
        <f t="shared" si="0"/>
        <v>984.49058536376094</v>
      </c>
    </row>
    <row r="18" spans="1:11">
      <c r="A18" t="s">
        <v>16</v>
      </c>
      <c r="F18">
        <f t="shared" si="5"/>
        <v>15</v>
      </c>
      <c r="G18">
        <f t="shared" si="2"/>
        <v>31</v>
      </c>
      <c r="H18">
        <f t="shared" si="3"/>
        <v>0.99938128822737116</v>
      </c>
      <c r="I18">
        <f t="shared" si="1"/>
        <v>0</v>
      </c>
      <c r="J18">
        <f t="shared" si="4"/>
        <v>4.2902082455054114E-2</v>
      </c>
      <c r="K18">
        <f t="shared" si="0"/>
        <v>984.44768143957765</v>
      </c>
    </row>
    <row r="19" spans="1:11">
      <c r="A19" t="s">
        <v>15</v>
      </c>
      <c r="B19" t="s">
        <v>17</v>
      </c>
      <c r="C19" t="s">
        <v>18</v>
      </c>
      <c r="F19">
        <f t="shared" si="5"/>
        <v>16</v>
      </c>
      <c r="G19">
        <f t="shared" si="2"/>
        <v>31</v>
      </c>
      <c r="H19">
        <f t="shared" si="3"/>
        <v>0.99933838798656527</v>
      </c>
      <c r="I19">
        <f t="shared" si="1"/>
        <v>0</v>
      </c>
      <c r="J19">
        <f t="shared" si="4"/>
        <v>4.2900240805887613E-2</v>
      </c>
      <c r="K19">
        <f t="shared" si="0"/>
        <v>984.40477935712261</v>
      </c>
    </row>
    <row r="20" spans="1:11">
      <c r="A20">
        <v>30</v>
      </c>
      <c r="B20" s="2">
        <v>4.8999999999999998E-4</v>
      </c>
      <c r="C20" s="4">
        <f>1-(1-B20)^(1/12)</f>
        <v>4.084250669134093E-5</v>
      </c>
      <c r="F20">
        <f t="shared" si="5"/>
        <v>17</v>
      </c>
      <c r="G20">
        <f t="shared" si="2"/>
        <v>31</v>
      </c>
      <c r="H20">
        <f t="shared" si="3"/>
        <v>0.99929548958732939</v>
      </c>
      <c r="I20">
        <f t="shared" si="1"/>
        <v>0</v>
      </c>
      <c r="J20">
        <f t="shared" si="4"/>
        <v>4.2898399235880014E-2</v>
      </c>
      <c r="K20">
        <f t="shared" si="0"/>
        <v>984.36187911631669</v>
      </c>
    </row>
    <row r="21" spans="1:11">
      <c r="A21">
        <v>31</v>
      </c>
      <c r="B21">
        <v>5.1500000000000005E-4</v>
      </c>
      <c r="C21">
        <f t="shared" ref="C21:C26" si="6">1-(1-B21)^(1/12)</f>
        <v>4.2926800122522479E-5</v>
      </c>
      <c r="F21">
        <f t="shared" si="5"/>
        <v>18</v>
      </c>
      <c r="G21">
        <f t="shared" si="2"/>
        <v>31</v>
      </c>
      <c r="H21">
        <f t="shared" si="3"/>
        <v>0.99925259302958458</v>
      </c>
      <c r="I21">
        <f t="shared" si="1"/>
        <v>0</v>
      </c>
      <c r="J21">
        <f t="shared" si="4"/>
        <v>4.2896557744809272E-2</v>
      </c>
      <c r="K21">
        <f t="shared" si="0"/>
        <v>984.31898071708076</v>
      </c>
    </row>
    <row r="22" spans="1:11">
      <c r="A22">
        <v>32</v>
      </c>
      <c r="B22">
        <v>5.4799999999999998E-4</v>
      </c>
      <c r="C22">
        <f t="shared" si="6"/>
        <v>4.5678140628502284E-5</v>
      </c>
      <c r="F22">
        <f t="shared" si="5"/>
        <v>19</v>
      </c>
      <c r="G22">
        <f t="shared" si="2"/>
        <v>31</v>
      </c>
      <c r="H22">
        <f t="shared" si="3"/>
        <v>0.99920969831325168</v>
      </c>
      <c r="I22">
        <f t="shared" si="1"/>
        <v>0</v>
      </c>
      <c r="J22">
        <f t="shared" si="4"/>
        <v>4.2894716332897431E-2</v>
      </c>
      <c r="K22">
        <f t="shared" si="0"/>
        <v>984.27608415933594</v>
      </c>
    </row>
    <row r="23" spans="1:11">
      <c r="A23">
        <v>33</v>
      </c>
      <c r="B23">
        <v>5.9000000000000003E-4</v>
      </c>
      <c r="C23">
        <f t="shared" si="6"/>
        <v>4.9179967166579353E-5</v>
      </c>
      <c r="F23">
        <f t="shared" si="5"/>
        <v>20</v>
      </c>
      <c r="G23">
        <f t="shared" si="2"/>
        <v>31</v>
      </c>
      <c r="H23">
        <f t="shared" si="3"/>
        <v>0.99916680543825165</v>
      </c>
      <c r="I23">
        <f t="shared" si="1"/>
        <v>0</v>
      </c>
      <c r="J23">
        <f t="shared" si="4"/>
        <v>4.289287500003347E-2</v>
      </c>
      <c r="K23">
        <f t="shared" si="0"/>
        <v>984.23318944300308</v>
      </c>
    </row>
    <row r="24" spans="1:11">
      <c r="A24">
        <v>34</v>
      </c>
      <c r="B24">
        <v>6.3900000000000003E-4</v>
      </c>
      <c r="C24">
        <f t="shared" si="6"/>
        <v>5.3265601963614628E-5</v>
      </c>
      <c r="F24">
        <f t="shared" si="5"/>
        <v>21</v>
      </c>
      <c r="G24">
        <f t="shared" si="2"/>
        <v>31</v>
      </c>
      <c r="H24">
        <f t="shared" si="3"/>
        <v>0.99912391440450554</v>
      </c>
      <c r="I24">
        <f t="shared" si="1"/>
        <v>0</v>
      </c>
      <c r="J24">
        <f t="shared" si="4"/>
        <v>4.2891033746106366E-2</v>
      </c>
      <c r="K24">
        <f t="shared" si="0"/>
        <v>984.19029656800308</v>
      </c>
    </row>
    <row r="25" spans="1:11">
      <c r="A25">
        <v>35</v>
      </c>
      <c r="B25">
        <v>6.9700000000000003E-4</v>
      </c>
      <c r="C25">
        <f t="shared" si="6"/>
        <v>5.8101896805107245E-5</v>
      </c>
      <c r="F25">
        <f t="shared" si="5"/>
        <v>22</v>
      </c>
      <c r="G25">
        <f t="shared" si="2"/>
        <v>31</v>
      </c>
      <c r="H25">
        <f t="shared" si="3"/>
        <v>0.99908102521193431</v>
      </c>
      <c r="I25">
        <f t="shared" si="1"/>
        <v>0</v>
      </c>
      <c r="J25">
        <f t="shared" si="4"/>
        <v>4.2889192571227142E-2</v>
      </c>
      <c r="K25">
        <f t="shared" si="0"/>
        <v>984.14740553425702</v>
      </c>
    </row>
    <row r="26" spans="1:11">
      <c r="A26">
        <v>36</v>
      </c>
      <c r="B26">
        <v>7.6300000000000001E-4</v>
      </c>
      <c r="C26">
        <f t="shared" si="6"/>
        <v>6.3605579800118939E-5</v>
      </c>
      <c r="F26">
        <f t="shared" si="5"/>
        <v>23</v>
      </c>
      <c r="G26">
        <f t="shared" si="2"/>
        <v>31</v>
      </c>
      <c r="H26">
        <f t="shared" si="3"/>
        <v>0.99903813786045881</v>
      </c>
      <c r="I26">
        <f t="shared" si="1"/>
        <v>0</v>
      </c>
      <c r="J26">
        <f t="shared" si="4"/>
        <v>4.2887351475506819E-2</v>
      </c>
      <c r="K26">
        <f t="shared" si="0"/>
        <v>984.10451634168578</v>
      </c>
    </row>
    <row r="27" spans="1:11">
      <c r="F27">
        <f t="shared" si="5"/>
        <v>24</v>
      </c>
      <c r="G27">
        <f t="shared" si="2"/>
        <v>31</v>
      </c>
      <c r="H27">
        <f t="shared" si="3"/>
        <v>0.99899525235000008</v>
      </c>
      <c r="I27">
        <f t="shared" si="1"/>
        <v>4.9949762617500006</v>
      </c>
      <c r="J27">
        <f t="shared" si="4"/>
        <v>4.2885510458723353E-2</v>
      </c>
      <c r="K27">
        <f t="shared" si="0"/>
        <v>984.06162899021024</v>
      </c>
    </row>
    <row r="28" spans="1:11">
      <c r="F28">
        <f t="shared" si="5"/>
        <v>25</v>
      </c>
      <c r="G28">
        <f t="shared" si="2"/>
        <v>32</v>
      </c>
      <c r="H28">
        <f>H27*(1-VLOOKUP(G28,$A$20:$C$26,3,))</f>
        <v>0.99894962010437605</v>
      </c>
      <c r="I28">
        <f t="shared" si="1"/>
        <v>0</v>
      </c>
      <c r="J28">
        <f t="shared" si="4"/>
        <v>4.5632245624038781E-2</v>
      </c>
      <c r="K28">
        <f t="shared" si="0"/>
        <v>989.01371974150152</v>
      </c>
    </row>
    <row r="29" spans="1:11">
      <c r="F29">
        <f t="shared" si="5"/>
        <v>26</v>
      </c>
      <c r="G29">
        <f t="shared" si="2"/>
        <v>32</v>
      </c>
      <c r="H29">
        <f t="shared" si="3"/>
        <v>0.99890398994314811</v>
      </c>
      <c r="I29">
        <f t="shared" si="1"/>
        <v>0</v>
      </c>
      <c r="J29">
        <f t="shared" si="4"/>
        <v>4.5630161227938615E-2</v>
      </c>
      <c r="K29">
        <f t="shared" si="0"/>
        <v>988.96808749587751</v>
      </c>
    </row>
    <row r="30" spans="1:11">
      <c r="F30">
        <f t="shared" si="5"/>
        <v>27</v>
      </c>
      <c r="G30">
        <f t="shared" si="2"/>
        <v>32</v>
      </c>
      <c r="H30">
        <f t="shared" si="3"/>
        <v>0.99885836186622112</v>
      </c>
      <c r="I30">
        <f t="shared" si="1"/>
        <v>0</v>
      </c>
      <c r="J30">
        <f t="shared" si="4"/>
        <v>4.5628076926984562E-2</v>
      </c>
      <c r="K30">
        <f t="shared" si="0"/>
        <v>988.92245733464961</v>
      </c>
    </row>
    <row r="31" spans="1:11">
      <c r="F31">
        <f t="shared" si="5"/>
        <v>28</v>
      </c>
      <c r="G31">
        <f t="shared" si="2"/>
        <v>32</v>
      </c>
      <c r="H31">
        <f t="shared" si="3"/>
        <v>0.99881273587349984</v>
      </c>
      <c r="I31">
        <f t="shared" si="1"/>
        <v>0</v>
      </c>
      <c r="J31">
        <f t="shared" si="4"/>
        <v>4.5625992721287645E-2</v>
      </c>
      <c r="K31">
        <f t="shared" si="0"/>
        <v>988.87682925772265</v>
      </c>
    </row>
    <row r="32" spans="1:11">
      <c r="F32">
        <f t="shared" si="5"/>
        <v>29</v>
      </c>
      <c r="G32">
        <f t="shared" si="2"/>
        <v>32</v>
      </c>
      <c r="H32">
        <f t="shared" si="3"/>
        <v>0.9987671119648891</v>
      </c>
      <c r="I32">
        <f t="shared" si="1"/>
        <v>0</v>
      </c>
      <c r="J32">
        <f t="shared" si="4"/>
        <v>4.5623908610736841E-2</v>
      </c>
      <c r="K32">
        <f t="shared" si="0"/>
        <v>988.83120326500136</v>
      </c>
    </row>
    <row r="33" spans="6:11">
      <c r="F33">
        <f t="shared" si="5"/>
        <v>30</v>
      </c>
      <c r="G33">
        <f t="shared" si="2"/>
        <v>32</v>
      </c>
      <c r="H33">
        <f t="shared" si="3"/>
        <v>0.99872149014029366</v>
      </c>
      <c r="I33">
        <f t="shared" si="1"/>
        <v>0</v>
      </c>
      <c r="J33">
        <f t="shared" si="4"/>
        <v>4.5621824595443172E-2</v>
      </c>
      <c r="K33">
        <f t="shared" si="0"/>
        <v>988.7855793563906</v>
      </c>
    </row>
    <row r="34" spans="6:11">
      <c r="F34">
        <f t="shared" si="5"/>
        <v>31</v>
      </c>
      <c r="G34">
        <f t="shared" si="2"/>
        <v>32</v>
      </c>
      <c r="H34">
        <f t="shared" si="3"/>
        <v>0.99867587039961836</v>
      </c>
      <c r="I34">
        <f t="shared" si="1"/>
        <v>0</v>
      </c>
      <c r="J34">
        <f t="shared" si="4"/>
        <v>4.5619740675295617E-2</v>
      </c>
      <c r="K34">
        <f t="shared" si="0"/>
        <v>988.7399575317952</v>
      </c>
    </row>
    <row r="35" spans="6:11">
      <c r="F35">
        <f t="shared" si="5"/>
        <v>32</v>
      </c>
      <c r="G35">
        <f t="shared" si="2"/>
        <v>32</v>
      </c>
      <c r="H35">
        <f t="shared" si="3"/>
        <v>0.99863025274276795</v>
      </c>
      <c r="I35">
        <f t="shared" si="1"/>
        <v>0</v>
      </c>
      <c r="J35">
        <f t="shared" si="4"/>
        <v>4.5617656850405197E-2</v>
      </c>
      <c r="K35">
        <f t="shared" si="0"/>
        <v>988.69433779111989</v>
      </c>
    </row>
    <row r="36" spans="6:11">
      <c r="F36">
        <f t="shared" si="5"/>
        <v>33</v>
      </c>
      <c r="G36">
        <f t="shared" si="2"/>
        <v>32</v>
      </c>
      <c r="H36">
        <f t="shared" si="3"/>
        <v>0.99858463716964729</v>
      </c>
      <c r="I36">
        <f t="shared" si="1"/>
        <v>0</v>
      </c>
      <c r="J36">
        <f t="shared" si="4"/>
        <v>4.5615573120660891E-2</v>
      </c>
      <c r="K36">
        <f t="shared" si="0"/>
        <v>988.64872013426952</v>
      </c>
    </row>
    <row r="37" spans="6:11">
      <c r="F37">
        <f t="shared" si="5"/>
        <v>34</v>
      </c>
      <c r="G37">
        <f t="shared" si="2"/>
        <v>32</v>
      </c>
      <c r="H37">
        <f t="shared" si="3"/>
        <v>0.99853902368016123</v>
      </c>
      <c r="I37">
        <f t="shared" si="1"/>
        <v>0</v>
      </c>
      <c r="J37">
        <f t="shared" si="4"/>
        <v>4.5613489486062697E-2</v>
      </c>
      <c r="K37">
        <f t="shared" si="0"/>
        <v>988.60310456114883</v>
      </c>
    </row>
    <row r="38" spans="6:11">
      <c r="F38">
        <f t="shared" si="5"/>
        <v>35</v>
      </c>
      <c r="G38">
        <f t="shared" si="2"/>
        <v>32</v>
      </c>
      <c r="H38">
        <f t="shared" si="3"/>
        <v>0.99849341227421451</v>
      </c>
      <c r="I38">
        <f t="shared" si="1"/>
        <v>0</v>
      </c>
      <c r="J38">
        <f t="shared" si="4"/>
        <v>4.5611405946721639E-2</v>
      </c>
      <c r="K38">
        <f t="shared" si="0"/>
        <v>988.55749107166275</v>
      </c>
    </row>
    <row r="39" spans="6:11">
      <c r="F39">
        <f t="shared" si="5"/>
        <v>36</v>
      </c>
      <c r="G39">
        <f t="shared" si="2"/>
        <v>32</v>
      </c>
      <c r="H39">
        <f t="shared" si="3"/>
        <v>0.99844780295171198</v>
      </c>
      <c r="I39">
        <f t="shared" si="1"/>
        <v>4.9922390147585602</v>
      </c>
      <c r="J39">
        <f t="shared" si="4"/>
        <v>4.5609322502526695E-2</v>
      </c>
      <c r="K39">
        <f t="shared" si="0"/>
        <v>988.51187966571604</v>
      </c>
    </row>
    <row r="40" spans="6:11">
      <c r="F40">
        <f t="shared" si="5"/>
        <v>37</v>
      </c>
      <c r="G40">
        <f t="shared" si="2"/>
        <v>33</v>
      </c>
      <c r="H40">
        <f t="shared" si="3"/>
        <v>0.99839869932154524</v>
      </c>
      <c r="I40">
        <f t="shared" si="1"/>
        <v>0</v>
      </c>
      <c r="J40">
        <f t="shared" si="4"/>
        <v>4.9103630166746903E-2</v>
      </c>
      <c r="K40">
        <f t="shared" si="0"/>
        <v>993.45850935797205</v>
      </c>
    </row>
    <row r="41" spans="6:11">
      <c r="F41">
        <f t="shared" si="5"/>
        <v>38</v>
      </c>
      <c r="G41">
        <f t="shared" si="2"/>
        <v>33</v>
      </c>
      <c r="H41">
        <f t="shared" si="3"/>
        <v>0.99834959810629342</v>
      </c>
      <c r="I41">
        <f t="shared" si="1"/>
        <v>0</v>
      </c>
      <c r="J41">
        <f t="shared" si="4"/>
        <v>4.9101215251812214E-2</v>
      </c>
      <c r="K41">
        <f t="shared" si="0"/>
        <v>993.40940572780528</v>
      </c>
    </row>
    <row r="42" spans="6:11">
      <c r="F42">
        <f t="shared" si="5"/>
        <v>39</v>
      </c>
      <c r="G42">
        <f t="shared" si="2"/>
        <v>33</v>
      </c>
      <c r="H42">
        <f t="shared" si="3"/>
        <v>0.99830049930583775</v>
      </c>
      <c r="I42">
        <f t="shared" si="1"/>
        <v>0</v>
      </c>
      <c r="J42">
        <f t="shared" si="4"/>
        <v>4.9098800455671388E-2</v>
      </c>
      <c r="K42">
        <f t="shared" si="0"/>
        <v>993.36030451255351</v>
      </c>
    </row>
    <row r="43" spans="6:11">
      <c r="F43">
        <f t="shared" si="5"/>
        <v>40</v>
      </c>
      <c r="G43">
        <f t="shared" si="2"/>
        <v>33</v>
      </c>
      <c r="H43">
        <f t="shared" si="3"/>
        <v>0.99825140292005954</v>
      </c>
      <c r="I43">
        <f t="shared" si="1"/>
        <v>0</v>
      </c>
      <c r="J43">
        <f t="shared" si="4"/>
        <v>4.9096385778213403E-2</v>
      </c>
      <c r="K43">
        <f t="shared" si="0"/>
        <v>993.31120571209783</v>
      </c>
    </row>
    <row r="44" spans="6:11">
      <c r="F44">
        <f t="shared" si="5"/>
        <v>41</v>
      </c>
      <c r="G44">
        <f t="shared" si="2"/>
        <v>33</v>
      </c>
      <c r="H44">
        <f t="shared" si="3"/>
        <v>0.99820230894883999</v>
      </c>
      <c r="I44">
        <f t="shared" si="1"/>
        <v>0</v>
      </c>
      <c r="J44">
        <f t="shared" si="4"/>
        <v>4.9093971219549282E-2</v>
      </c>
      <c r="K44">
        <f t="shared" si="0"/>
        <v>993.26210932631966</v>
      </c>
    </row>
    <row r="45" spans="6:11">
      <c r="F45">
        <f t="shared" si="5"/>
        <v>42</v>
      </c>
      <c r="G45">
        <f t="shared" si="2"/>
        <v>33</v>
      </c>
      <c r="H45">
        <f t="shared" si="3"/>
        <v>0.99815321739206031</v>
      </c>
      <c r="I45">
        <f t="shared" si="1"/>
        <v>0</v>
      </c>
      <c r="J45">
        <f t="shared" si="4"/>
        <v>4.9091556779679024E-2</v>
      </c>
      <c r="K45">
        <f t="shared" si="0"/>
        <v>993.21301535510008</v>
      </c>
    </row>
    <row r="46" spans="6:11">
      <c r="F46">
        <f t="shared" si="5"/>
        <v>43</v>
      </c>
      <c r="G46">
        <f t="shared" si="2"/>
        <v>33</v>
      </c>
      <c r="H46">
        <f t="shared" si="3"/>
        <v>0.99810412824960171</v>
      </c>
      <c r="I46">
        <f t="shared" si="1"/>
        <v>0</v>
      </c>
      <c r="J46">
        <f t="shared" si="4"/>
        <v>4.908914245860263E-2</v>
      </c>
      <c r="K46">
        <f t="shared" si="0"/>
        <v>993.16392379832041</v>
      </c>
    </row>
    <row r="47" spans="6:11">
      <c r="F47">
        <f t="shared" si="5"/>
        <v>44</v>
      </c>
      <c r="G47">
        <f t="shared" si="2"/>
        <v>33</v>
      </c>
      <c r="H47">
        <f t="shared" si="3"/>
        <v>0.99805504152134561</v>
      </c>
      <c r="I47">
        <f t="shared" si="1"/>
        <v>0</v>
      </c>
      <c r="J47">
        <f t="shared" si="4"/>
        <v>4.9086728256098056E-2</v>
      </c>
      <c r="K47">
        <f t="shared" si="0"/>
        <v>993.11483465586184</v>
      </c>
    </row>
    <row r="48" spans="6:11">
      <c r="F48">
        <f t="shared" si="5"/>
        <v>45</v>
      </c>
      <c r="G48">
        <f t="shared" si="2"/>
        <v>33</v>
      </c>
      <c r="H48">
        <f t="shared" si="3"/>
        <v>0.99800595720717311</v>
      </c>
      <c r="I48">
        <f t="shared" si="1"/>
        <v>0</v>
      </c>
      <c r="J48">
        <f t="shared" si="4"/>
        <v>4.9084314172498367E-2</v>
      </c>
      <c r="K48">
        <f t="shared" si="0"/>
        <v>993.0657479276058</v>
      </c>
    </row>
    <row r="49" spans="6:11">
      <c r="F49">
        <f t="shared" si="5"/>
        <v>46</v>
      </c>
      <c r="G49">
        <f t="shared" si="2"/>
        <v>33</v>
      </c>
      <c r="H49">
        <f t="shared" si="3"/>
        <v>0.99795687530696564</v>
      </c>
      <c r="I49">
        <f t="shared" si="1"/>
        <v>0</v>
      </c>
      <c r="J49">
        <f t="shared" si="4"/>
        <v>4.9081900207470497E-2</v>
      </c>
      <c r="K49">
        <f t="shared" si="0"/>
        <v>993.01666361343325</v>
      </c>
    </row>
    <row r="50" spans="6:11">
      <c r="F50">
        <f t="shared" si="5"/>
        <v>47</v>
      </c>
      <c r="G50">
        <f t="shared" si="2"/>
        <v>33</v>
      </c>
      <c r="H50">
        <f t="shared" si="3"/>
        <v>0.9979077958206044</v>
      </c>
      <c r="I50">
        <f t="shared" si="1"/>
        <v>0</v>
      </c>
      <c r="J50">
        <f t="shared" si="4"/>
        <v>4.9079486361236491E-2</v>
      </c>
      <c r="K50">
        <f t="shared" si="0"/>
        <v>992.96758171322574</v>
      </c>
    </row>
    <row r="51" spans="6:11">
      <c r="F51">
        <f t="shared" si="5"/>
        <v>48</v>
      </c>
      <c r="G51">
        <f t="shared" si="2"/>
        <v>33</v>
      </c>
      <c r="H51">
        <f t="shared" si="3"/>
        <v>0.99785871874797072</v>
      </c>
      <c r="I51">
        <f t="shared" si="1"/>
        <v>4.9892935937398537</v>
      </c>
      <c r="J51">
        <f t="shared" si="4"/>
        <v>4.9077072633685326E-2</v>
      </c>
      <c r="K51">
        <f t="shared" si="0"/>
        <v>992.91850222686446</v>
      </c>
    </row>
    <row r="52" spans="6:11">
      <c r="F52">
        <f t="shared" si="5"/>
        <v>49</v>
      </c>
      <c r="G52">
        <f t="shared" si="2"/>
        <v>34</v>
      </c>
      <c r="H52">
        <f t="shared" si="3"/>
        <v>0.99780556720264202</v>
      </c>
      <c r="I52">
        <f t="shared" si="1"/>
        <v>0</v>
      </c>
      <c r="J52">
        <f t="shared" si="4"/>
        <v>5.3151545328700145E-2</v>
      </c>
      <c r="K52">
        <f t="shared" si="0"/>
        <v>997.85871874797056</v>
      </c>
    </row>
    <row r="53" spans="6:11">
      <c r="F53">
        <f t="shared" si="5"/>
        <v>50</v>
      </c>
      <c r="G53">
        <f t="shared" si="2"/>
        <v>34</v>
      </c>
      <c r="H53">
        <f t="shared" si="3"/>
        <v>0.9977524184884623</v>
      </c>
      <c r="I53">
        <f t="shared" si="1"/>
        <v>0</v>
      </c>
      <c r="J53">
        <f t="shared" si="4"/>
        <v>5.3148714179718226E-2</v>
      </c>
      <c r="K53">
        <f t="shared" si="0"/>
        <v>997.8055672026419</v>
      </c>
    </row>
    <row r="54" spans="6:11">
      <c r="F54">
        <f t="shared" si="5"/>
        <v>51</v>
      </c>
      <c r="G54">
        <f t="shared" si="2"/>
        <v>34</v>
      </c>
      <c r="H54">
        <f t="shared" si="3"/>
        <v>0.99769927260528091</v>
      </c>
      <c r="I54">
        <f t="shared" si="1"/>
        <v>0</v>
      </c>
      <c r="J54">
        <f t="shared" si="4"/>
        <v>5.3145883181393572E-2</v>
      </c>
      <c r="K54">
        <f t="shared" si="0"/>
        <v>997.75241848846213</v>
      </c>
    </row>
    <row r="55" spans="6:11">
      <c r="F55">
        <f t="shared" si="5"/>
        <v>52</v>
      </c>
      <c r="G55">
        <f t="shared" si="2"/>
        <v>34</v>
      </c>
      <c r="H55">
        <f t="shared" si="3"/>
        <v>0.99764612955294696</v>
      </c>
      <c r="I55">
        <f t="shared" si="1"/>
        <v>0</v>
      </c>
      <c r="J55">
        <f t="shared" si="4"/>
        <v>5.3143052333948226E-2</v>
      </c>
      <c r="K55">
        <f t="shared" si="0"/>
        <v>997.69927260528073</v>
      </c>
    </row>
    <row r="56" spans="6:11">
      <c r="F56">
        <f t="shared" si="5"/>
        <v>53</v>
      </c>
      <c r="G56">
        <f t="shared" si="2"/>
        <v>34</v>
      </c>
      <c r="H56">
        <f t="shared" si="3"/>
        <v>0.99759298933130969</v>
      </c>
      <c r="I56">
        <f t="shared" si="1"/>
        <v>0</v>
      </c>
      <c r="J56">
        <f t="shared" si="4"/>
        <v>5.3140221637271168E-2</v>
      </c>
      <c r="K56">
        <f t="shared" si="0"/>
        <v>997.64612955294683</v>
      </c>
    </row>
    <row r="57" spans="6:11">
      <c r="F57">
        <f t="shared" si="5"/>
        <v>54</v>
      </c>
      <c r="G57">
        <f t="shared" si="2"/>
        <v>34</v>
      </c>
      <c r="H57">
        <f t="shared" si="3"/>
        <v>0.99753985194021833</v>
      </c>
      <c r="I57">
        <f t="shared" si="1"/>
        <v>0</v>
      </c>
      <c r="J57">
        <f t="shared" si="4"/>
        <v>5.3137391091362396E-2</v>
      </c>
      <c r="K57">
        <f t="shared" si="0"/>
        <v>997.59298933130958</v>
      </c>
    </row>
    <row r="58" spans="6:11">
      <c r="F58">
        <f t="shared" si="5"/>
        <v>55</v>
      </c>
      <c r="G58">
        <f t="shared" si="2"/>
        <v>34</v>
      </c>
      <c r="H58">
        <f t="shared" si="3"/>
        <v>0.99748671737952199</v>
      </c>
      <c r="I58">
        <f t="shared" si="1"/>
        <v>0</v>
      </c>
      <c r="J58">
        <f t="shared" si="4"/>
        <v>5.3134560696332933E-2</v>
      </c>
      <c r="K58">
        <f t="shared" si="0"/>
        <v>997.53985194021823</v>
      </c>
    </row>
    <row r="59" spans="6:11">
      <c r="F59">
        <f t="shared" si="5"/>
        <v>56</v>
      </c>
      <c r="G59">
        <f t="shared" si="2"/>
        <v>34</v>
      </c>
      <c r="H59">
        <f t="shared" si="3"/>
        <v>0.99743358564907003</v>
      </c>
      <c r="I59">
        <f t="shared" si="1"/>
        <v>0</v>
      </c>
      <c r="J59">
        <f t="shared" si="4"/>
        <v>5.3131730451960735E-2</v>
      </c>
      <c r="K59">
        <f t="shared" si="0"/>
        <v>997.48671737952191</v>
      </c>
    </row>
    <row r="60" spans="6:11">
      <c r="F60">
        <f t="shared" si="5"/>
        <v>57</v>
      </c>
      <c r="G60">
        <f t="shared" si="2"/>
        <v>34</v>
      </c>
      <c r="H60">
        <f t="shared" si="3"/>
        <v>0.99738045674871167</v>
      </c>
      <c r="I60">
        <f t="shared" si="1"/>
        <v>0</v>
      </c>
      <c r="J60">
        <f t="shared" si="4"/>
        <v>5.3128900358356823E-2</v>
      </c>
      <c r="K60">
        <f t="shared" si="0"/>
        <v>997.43358564906998</v>
      </c>
    </row>
    <row r="61" spans="6:11">
      <c r="F61">
        <f t="shared" si="5"/>
        <v>58</v>
      </c>
      <c r="G61">
        <f t="shared" si="2"/>
        <v>34</v>
      </c>
      <c r="H61">
        <f t="shared" si="3"/>
        <v>0.99732733067829626</v>
      </c>
      <c r="I61">
        <f t="shared" si="1"/>
        <v>0</v>
      </c>
      <c r="J61">
        <f t="shared" si="4"/>
        <v>5.3126070415410176E-2</v>
      </c>
      <c r="K61">
        <f t="shared" si="0"/>
        <v>997.38045674871159</v>
      </c>
    </row>
    <row r="62" spans="6:11">
      <c r="F62">
        <f t="shared" si="5"/>
        <v>59</v>
      </c>
      <c r="G62">
        <f t="shared" si="2"/>
        <v>34</v>
      </c>
      <c r="H62">
        <f t="shared" si="3"/>
        <v>0.99727420743767292</v>
      </c>
      <c r="I62">
        <f t="shared" si="1"/>
        <v>0</v>
      </c>
      <c r="J62">
        <f t="shared" si="4"/>
        <v>5.3123240623342838E-2</v>
      </c>
      <c r="K62">
        <f>K63*$B$12+J62-I62</f>
        <v>997.32733067829622</v>
      </c>
    </row>
    <row r="63" spans="6:11">
      <c r="F63">
        <f t="shared" si="5"/>
        <v>60</v>
      </c>
      <c r="G63">
        <f t="shared" si="2"/>
        <v>34</v>
      </c>
      <c r="H63">
        <v>0</v>
      </c>
      <c r="I63">
        <f t="shared" si="1"/>
        <v>0</v>
      </c>
      <c r="J63">
        <f t="shared" si="4"/>
        <v>997.27420743767289</v>
      </c>
      <c r="K63">
        <f>J63-I63</f>
        <v>997.27420743767289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3"/>
  <sheetViews>
    <sheetView workbookViewId="0">
      <selection activeCell="E52" sqref="E52"/>
    </sheetView>
  </sheetViews>
  <sheetFormatPr baseColWidth="10" defaultColWidth="8.83203125" defaultRowHeight="15"/>
  <cols>
    <col min="1" max="1" width="14.5" bestFit="1" customWidth="1"/>
    <col min="3" max="3" width="22.33203125" bestFit="1" customWidth="1"/>
    <col min="8" max="8" width="11.83203125" bestFit="1" customWidth="1"/>
    <col min="9" max="9" width="15.1640625" bestFit="1" customWidth="1"/>
  </cols>
  <sheetData>
    <row r="1" spans="1:16">
      <c r="A1" t="s">
        <v>23</v>
      </c>
    </row>
    <row r="2" spans="1:16">
      <c r="C2" t="s">
        <v>8</v>
      </c>
      <c r="F2" t="s">
        <v>10</v>
      </c>
      <c r="G2" t="s">
        <v>15</v>
      </c>
      <c r="H2" t="s">
        <v>14</v>
      </c>
      <c r="I2" t="s">
        <v>11</v>
      </c>
      <c r="J2" t="s">
        <v>12</v>
      </c>
      <c r="L2" t="s">
        <v>21</v>
      </c>
    </row>
    <row r="3" spans="1:16">
      <c r="A3" t="s">
        <v>4</v>
      </c>
      <c r="B3" s="1" t="s">
        <v>5</v>
      </c>
      <c r="F3">
        <v>0</v>
      </c>
      <c r="G3">
        <f>B4</f>
        <v>30</v>
      </c>
      <c r="H3">
        <v>1</v>
      </c>
      <c r="I3">
        <f>IF(MOD(F3,12)=0,$B$9,0)*H3</f>
        <v>5</v>
      </c>
      <c r="J3">
        <f>IF(F3=B8,B13*H3,0)</f>
        <v>0</v>
      </c>
      <c r="L3">
        <f t="shared" ref="L3:L61" si="0">L4*$B$12+J3-I3</f>
        <v>-29.96016430538187</v>
      </c>
    </row>
    <row r="4" spans="1:16">
      <c r="A4" t="s">
        <v>0</v>
      </c>
      <c r="B4">
        <v>30</v>
      </c>
      <c r="F4">
        <v>1</v>
      </c>
      <c r="G4">
        <f>G3</f>
        <v>30</v>
      </c>
      <c r="H4">
        <f>H3*(1-VLOOKUP(G4,$A$20:$C$26,3,))</f>
        <v>0.99995915749330866</v>
      </c>
      <c r="I4">
        <f t="shared" ref="I4:I63" si="1">IF(MOD(F4,12)=0,$B$9,0)*H4</f>
        <v>0</v>
      </c>
      <c r="J4">
        <f t="shared" ref="J4:J63" si="2">IF(F4=B9,B14*H4,0)</f>
        <v>0</v>
      </c>
      <c r="L4">
        <f t="shared" si="0"/>
        <v>-24.96016430538187</v>
      </c>
    </row>
    <row r="5" spans="1:16">
      <c r="A5" t="s">
        <v>1</v>
      </c>
      <c r="B5" t="s">
        <v>6</v>
      </c>
      <c r="F5">
        <v>2</v>
      </c>
      <c r="G5">
        <f t="shared" ref="G5:G63" si="3">IF(MOD(F5,12)=1,G4+1,G4)</f>
        <v>30</v>
      </c>
      <c r="H5">
        <f t="shared" ref="H5:H63" si="4">H4*(1-VLOOKUP(G5,$A$20:$C$26,3,))</f>
        <v>0.99991831665472763</v>
      </c>
      <c r="I5">
        <f t="shared" si="1"/>
        <v>0</v>
      </c>
      <c r="J5">
        <f t="shared" si="2"/>
        <v>0</v>
      </c>
      <c r="L5">
        <f t="shared" si="0"/>
        <v>-24.96016430538187</v>
      </c>
    </row>
    <row r="6" spans="1:16">
      <c r="A6" t="s">
        <v>2</v>
      </c>
      <c r="B6" t="s">
        <v>7</v>
      </c>
      <c r="F6">
        <v>3</v>
      </c>
      <c r="G6">
        <f t="shared" si="3"/>
        <v>30</v>
      </c>
      <c r="H6">
        <f t="shared" si="4"/>
        <v>0.99987747748418887</v>
      </c>
      <c r="I6">
        <f t="shared" si="1"/>
        <v>0</v>
      </c>
      <c r="J6">
        <f t="shared" si="2"/>
        <v>0</v>
      </c>
      <c r="L6">
        <f t="shared" si="0"/>
        <v>-24.96016430538187</v>
      </c>
    </row>
    <row r="7" spans="1:16">
      <c r="A7" t="s">
        <v>3</v>
      </c>
      <c r="F7">
        <f>F6+1</f>
        <v>4</v>
      </c>
      <c r="G7">
        <f t="shared" si="3"/>
        <v>30</v>
      </c>
      <c r="H7">
        <f t="shared" si="4"/>
        <v>0.9998366399816242</v>
      </c>
      <c r="I7">
        <f t="shared" si="1"/>
        <v>0</v>
      </c>
      <c r="J7">
        <f t="shared" si="2"/>
        <v>0</v>
      </c>
      <c r="L7">
        <f t="shared" si="0"/>
        <v>-24.96016430538187</v>
      </c>
    </row>
    <row r="8" spans="1:16">
      <c r="A8" t="s">
        <v>9</v>
      </c>
      <c r="B8">
        <f>5*12</f>
        <v>60</v>
      </c>
      <c r="F8">
        <f t="shared" ref="F8:F63" si="5">F7+1</f>
        <v>5</v>
      </c>
      <c r="G8">
        <f t="shared" si="3"/>
        <v>30</v>
      </c>
      <c r="H8">
        <f t="shared" si="4"/>
        <v>0.99979580414696545</v>
      </c>
      <c r="I8">
        <f t="shared" si="1"/>
        <v>0</v>
      </c>
      <c r="J8">
        <f t="shared" si="2"/>
        <v>0</v>
      </c>
      <c r="L8">
        <f t="shared" si="0"/>
        <v>-24.96016430538187</v>
      </c>
    </row>
    <row r="9" spans="1:16">
      <c r="A9" t="s">
        <v>13</v>
      </c>
      <c r="B9">
        <v>5</v>
      </c>
      <c r="F9">
        <f t="shared" si="5"/>
        <v>6</v>
      </c>
      <c r="G9">
        <f t="shared" si="3"/>
        <v>30</v>
      </c>
      <c r="H9">
        <f t="shared" si="4"/>
        <v>0.99975496998014457</v>
      </c>
      <c r="I9">
        <f t="shared" si="1"/>
        <v>0</v>
      </c>
      <c r="J9">
        <f t="shared" si="2"/>
        <v>0</v>
      </c>
      <c r="L9">
        <f t="shared" si="0"/>
        <v>-24.96016430538187</v>
      </c>
    </row>
    <row r="10" spans="1:16">
      <c r="A10" t="s">
        <v>19</v>
      </c>
      <c r="B10">
        <v>1000</v>
      </c>
      <c r="F10">
        <f t="shared" si="5"/>
        <v>7</v>
      </c>
      <c r="G10">
        <f t="shared" si="3"/>
        <v>30</v>
      </c>
      <c r="H10">
        <f t="shared" si="4"/>
        <v>0.9997141374810935</v>
      </c>
      <c r="I10">
        <f t="shared" si="1"/>
        <v>0</v>
      </c>
      <c r="J10">
        <f t="shared" si="2"/>
        <v>0</v>
      </c>
      <c r="L10">
        <f t="shared" si="0"/>
        <v>-24.96016430538187</v>
      </c>
    </row>
    <row r="11" spans="1:16">
      <c r="A11" t="s">
        <v>20</v>
      </c>
      <c r="B11" s="3">
        <v>0.05</v>
      </c>
      <c r="F11">
        <f t="shared" si="5"/>
        <v>8</v>
      </c>
      <c r="G11">
        <f t="shared" si="3"/>
        <v>30</v>
      </c>
      <c r="H11">
        <f t="shared" si="4"/>
        <v>0.99967330664974396</v>
      </c>
      <c r="I11">
        <f t="shared" si="1"/>
        <v>0</v>
      </c>
      <c r="J11">
        <f t="shared" si="2"/>
        <v>0</v>
      </c>
      <c r="L11">
        <f t="shared" si="0"/>
        <v>-24.96016430538187</v>
      </c>
    </row>
    <row r="12" spans="1:16">
      <c r="A12" t="s">
        <v>22</v>
      </c>
      <c r="B12">
        <v>1</v>
      </c>
      <c r="F12">
        <f t="shared" si="5"/>
        <v>9</v>
      </c>
      <c r="G12">
        <f t="shared" si="3"/>
        <v>30</v>
      </c>
      <c r="H12">
        <f t="shared" si="4"/>
        <v>0.99963247748602801</v>
      </c>
      <c r="I12">
        <f t="shared" si="1"/>
        <v>0</v>
      </c>
      <c r="J12">
        <f t="shared" si="2"/>
        <v>0</v>
      </c>
      <c r="L12">
        <f t="shared" si="0"/>
        <v>-24.96016430538187</v>
      </c>
    </row>
    <row r="13" spans="1:16">
      <c r="A13" t="s">
        <v>24</v>
      </c>
      <c r="B13">
        <v>100</v>
      </c>
      <c r="F13">
        <f t="shared" si="5"/>
        <v>10</v>
      </c>
      <c r="G13">
        <f t="shared" si="3"/>
        <v>30</v>
      </c>
      <c r="H13">
        <f t="shared" si="4"/>
        <v>0.99959164998987737</v>
      </c>
      <c r="I13">
        <f t="shared" si="1"/>
        <v>0</v>
      </c>
      <c r="J13">
        <f t="shared" si="2"/>
        <v>0</v>
      </c>
      <c r="L13">
        <f t="shared" si="0"/>
        <v>-24.96016430538187</v>
      </c>
    </row>
    <row r="14" spans="1:16">
      <c r="F14">
        <f t="shared" si="5"/>
        <v>11</v>
      </c>
      <c r="G14">
        <f t="shared" si="3"/>
        <v>30</v>
      </c>
      <c r="H14">
        <f t="shared" si="4"/>
        <v>0.99955082416122409</v>
      </c>
      <c r="I14">
        <f t="shared" si="1"/>
        <v>0</v>
      </c>
      <c r="J14">
        <f t="shared" si="2"/>
        <v>0</v>
      </c>
      <c r="L14">
        <f t="shared" si="0"/>
        <v>-24.96016430538187</v>
      </c>
    </row>
    <row r="15" spans="1:16">
      <c r="F15">
        <f t="shared" si="5"/>
        <v>12</v>
      </c>
      <c r="G15">
        <f t="shared" si="3"/>
        <v>30</v>
      </c>
      <c r="H15">
        <f t="shared" si="4"/>
        <v>0.9995099999999999</v>
      </c>
      <c r="I15">
        <f t="shared" si="1"/>
        <v>4.9975499999999995</v>
      </c>
      <c r="J15">
        <f t="shared" si="2"/>
        <v>0</v>
      </c>
      <c r="L15">
        <f t="shared" si="0"/>
        <v>-24.96016430538187</v>
      </c>
      <c r="P15" s="2"/>
    </row>
    <row r="16" spans="1:16">
      <c r="F16">
        <f t="shared" si="5"/>
        <v>13</v>
      </c>
      <c r="G16">
        <f t="shared" si="3"/>
        <v>31</v>
      </c>
      <c r="H16">
        <f t="shared" si="4"/>
        <v>0.99946709423400948</v>
      </c>
      <c r="I16">
        <f t="shared" si="1"/>
        <v>0</v>
      </c>
      <c r="J16">
        <f t="shared" si="2"/>
        <v>0</v>
      </c>
      <c r="L16">
        <f t="shared" si="0"/>
        <v>-19.962614305381869</v>
      </c>
    </row>
    <row r="17" spans="1:12">
      <c r="F17">
        <f t="shared" si="5"/>
        <v>14</v>
      </c>
      <c r="G17">
        <f t="shared" si="3"/>
        <v>31</v>
      </c>
      <c r="H17">
        <f t="shared" si="4"/>
        <v>0.99942419030982621</v>
      </c>
      <c r="I17">
        <f t="shared" si="1"/>
        <v>0</v>
      </c>
      <c r="J17">
        <f t="shared" si="2"/>
        <v>0</v>
      </c>
      <c r="L17">
        <f t="shared" si="0"/>
        <v>-19.962614305381869</v>
      </c>
    </row>
    <row r="18" spans="1:12">
      <c r="A18" t="s">
        <v>16</v>
      </c>
      <c r="F18">
        <f t="shared" si="5"/>
        <v>15</v>
      </c>
      <c r="G18">
        <f t="shared" si="3"/>
        <v>31</v>
      </c>
      <c r="H18">
        <f t="shared" si="4"/>
        <v>0.99938128822737116</v>
      </c>
      <c r="I18">
        <f t="shared" si="1"/>
        <v>0</v>
      </c>
      <c r="J18">
        <f t="shared" si="2"/>
        <v>0</v>
      </c>
      <c r="L18">
        <f t="shared" si="0"/>
        <v>-19.962614305381869</v>
      </c>
    </row>
    <row r="19" spans="1:12">
      <c r="A19" t="s">
        <v>15</v>
      </c>
      <c r="B19" t="s">
        <v>17</v>
      </c>
      <c r="C19" t="s">
        <v>18</v>
      </c>
      <c r="F19">
        <f t="shared" si="5"/>
        <v>16</v>
      </c>
      <c r="G19">
        <f t="shared" si="3"/>
        <v>31</v>
      </c>
      <c r="H19">
        <f t="shared" si="4"/>
        <v>0.99933838798656527</v>
      </c>
      <c r="I19">
        <f t="shared" si="1"/>
        <v>0</v>
      </c>
      <c r="J19">
        <f t="shared" si="2"/>
        <v>0</v>
      </c>
      <c r="L19">
        <f t="shared" si="0"/>
        <v>-19.962614305381869</v>
      </c>
    </row>
    <row r="20" spans="1:12">
      <c r="A20">
        <v>30</v>
      </c>
      <c r="B20" s="2">
        <v>4.8999999999999998E-4</v>
      </c>
      <c r="C20" s="4">
        <f>1-(1-B20)^(1/12)</f>
        <v>4.084250669134093E-5</v>
      </c>
      <c r="F20">
        <f t="shared" si="5"/>
        <v>17</v>
      </c>
      <c r="G20">
        <f t="shared" si="3"/>
        <v>31</v>
      </c>
      <c r="H20">
        <f t="shared" si="4"/>
        <v>0.99929548958732939</v>
      </c>
      <c r="I20">
        <f t="shared" si="1"/>
        <v>0</v>
      </c>
      <c r="J20">
        <f t="shared" si="2"/>
        <v>0</v>
      </c>
      <c r="L20">
        <f t="shared" si="0"/>
        <v>-19.962614305381869</v>
      </c>
    </row>
    <row r="21" spans="1:12">
      <c r="A21">
        <v>31</v>
      </c>
      <c r="B21">
        <v>5.1500000000000005E-4</v>
      </c>
      <c r="C21">
        <f t="shared" ref="C21:C26" si="6">1-(1-B21)^(1/12)</f>
        <v>4.2926800122522479E-5</v>
      </c>
      <c r="F21">
        <f t="shared" si="5"/>
        <v>18</v>
      </c>
      <c r="G21">
        <f t="shared" si="3"/>
        <v>31</v>
      </c>
      <c r="H21">
        <f t="shared" si="4"/>
        <v>0.99925259302958458</v>
      </c>
      <c r="I21">
        <f t="shared" si="1"/>
        <v>0</v>
      </c>
      <c r="J21">
        <f t="shared" si="2"/>
        <v>0</v>
      </c>
      <c r="L21">
        <f t="shared" si="0"/>
        <v>-19.962614305381869</v>
      </c>
    </row>
    <row r="22" spans="1:12">
      <c r="A22">
        <v>32</v>
      </c>
      <c r="B22">
        <v>5.4799999999999998E-4</v>
      </c>
      <c r="C22">
        <f t="shared" si="6"/>
        <v>4.5678140628502284E-5</v>
      </c>
      <c r="F22">
        <f t="shared" si="5"/>
        <v>19</v>
      </c>
      <c r="G22">
        <f t="shared" si="3"/>
        <v>31</v>
      </c>
      <c r="H22">
        <f t="shared" si="4"/>
        <v>0.99920969831325168</v>
      </c>
      <c r="I22">
        <f t="shared" si="1"/>
        <v>0</v>
      </c>
      <c r="J22">
        <f t="shared" si="2"/>
        <v>0</v>
      </c>
      <c r="L22">
        <f t="shared" si="0"/>
        <v>-19.962614305381869</v>
      </c>
    </row>
    <row r="23" spans="1:12">
      <c r="A23">
        <v>33</v>
      </c>
      <c r="B23">
        <v>5.9000000000000003E-4</v>
      </c>
      <c r="C23">
        <f t="shared" si="6"/>
        <v>4.9179967166579353E-5</v>
      </c>
      <c r="F23">
        <f t="shared" si="5"/>
        <v>20</v>
      </c>
      <c r="G23">
        <f t="shared" si="3"/>
        <v>31</v>
      </c>
      <c r="H23">
        <f t="shared" si="4"/>
        <v>0.99916680543825165</v>
      </c>
      <c r="I23">
        <f t="shared" si="1"/>
        <v>0</v>
      </c>
      <c r="J23">
        <f t="shared" si="2"/>
        <v>0</v>
      </c>
      <c r="L23">
        <f t="shared" si="0"/>
        <v>-19.962614305381869</v>
      </c>
    </row>
    <row r="24" spans="1:12">
      <c r="A24">
        <v>34</v>
      </c>
      <c r="B24">
        <v>6.3900000000000003E-4</v>
      </c>
      <c r="C24">
        <f t="shared" si="6"/>
        <v>5.3265601963614628E-5</v>
      </c>
      <c r="F24">
        <f t="shared" si="5"/>
        <v>21</v>
      </c>
      <c r="G24">
        <f t="shared" si="3"/>
        <v>31</v>
      </c>
      <c r="H24">
        <f t="shared" si="4"/>
        <v>0.99912391440450554</v>
      </c>
      <c r="I24">
        <f t="shared" si="1"/>
        <v>0</v>
      </c>
      <c r="J24">
        <f t="shared" si="2"/>
        <v>0</v>
      </c>
      <c r="L24">
        <f t="shared" si="0"/>
        <v>-19.962614305381869</v>
      </c>
    </row>
    <row r="25" spans="1:12">
      <c r="A25">
        <v>35</v>
      </c>
      <c r="B25">
        <v>6.9700000000000003E-4</v>
      </c>
      <c r="C25">
        <f t="shared" si="6"/>
        <v>5.8101896805107245E-5</v>
      </c>
      <c r="F25">
        <f t="shared" si="5"/>
        <v>22</v>
      </c>
      <c r="G25">
        <f t="shared" si="3"/>
        <v>31</v>
      </c>
      <c r="H25">
        <f t="shared" si="4"/>
        <v>0.99908102521193431</v>
      </c>
      <c r="I25">
        <f t="shared" si="1"/>
        <v>0</v>
      </c>
      <c r="J25">
        <f t="shared" si="2"/>
        <v>0</v>
      </c>
      <c r="L25">
        <f t="shared" si="0"/>
        <v>-19.962614305381869</v>
      </c>
    </row>
    <row r="26" spans="1:12">
      <c r="A26">
        <v>36</v>
      </c>
      <c r="B26">
        <v>7.6300000000000001E-4</v>
      </c>
      <c r="C26">
        <f t="shared" si="6"/>
        <v>6.3605579800118939E-5</v>
      </c>
      <c r="F26">
        <f t="shared" si="5"/>
        <v>23</v>
      </c>
      <c r="G26">
        <f t="shared" si="3"/>
        <v>31</v>
      </c>
      <c r="H26">
        <f t="shared" si="4"/>
        <v>0.99903813786045881</v>
      </c>
      <c r="I26">
        <f t="shared" si="1"/>
        <v>0</v>
      </c>
      <c r="J26">
        <f t="shared" si="2"/>
        <v>0</v>
      </c>
      <c r="L26">
        <f t="shared" si="0"/>
        <v>-19.962614305381869</v>
      </c>
    </row>
    <row r="27" spans="1:12">
      <c r="F27">
        <f t="shared" si="5"/>
        <v>24</v>
      </c>
      <c r="G27">
        <f t="shared" si="3"/>
        <v>31</v>
      </c>
      <c r="H27">
        <f t="shared" si="4"/>
        <v>0.99899525235000008</v>
      </c>
      <c r="I27">
        <f t="shared" si="1"/>
        <v>4.9949762617500006</v>
      </c>
      <c r="J27">
        <f t="shared" si="2"/>
        <v>0</v>
      </c>
      <c r="L27">
        <f t="shared" si="0"/>
        <v>-19.962614305381869</v>
      </c>
    </row>
    <row r="28" spans="1:12">
      <c r="F28">
        <f t="shared" si="5"/>
        <v>25</v>
      </c>
      <c r="G28">
        <f t="shared" si="3"/>
        <v>32</v>
      </c>
      <c r="H28">
        <f>H27*(1-VLOOKUP(G28,$A$20:$C$26,3,))</f>
        <v>0.99894962010437605</v>
      </c>
      <c r="I28">
        <f t="shared" si="1"/>
        <v>0</v>
      </c>
      <c r="J28">
        <f t="shared" si="2"/>
        <v>0</v>
      </c>
      <c r="L28">
        <f t="shared" si="0"/>
        <v>-14.967638043631869</v>
      </c>
    </row>
    <row r="29" spans="1:12">
      <c r="F29">
        <f t="shared" si="5"/>
        <v>26</v>
      </c>
      <c r="G29">
        <f t="shared" si="3"/>
        <v>32</v>
      </c>
      <c r="H29">
        <f t="shared" si="4"/>
        <v>0.99890398994314811</v>
      </c>
      <c r="I29">
        <f t="shared" si="1"/>
        <v>0</v>
      </c>
      <c r="J29">
        <f t="shared" si="2"/>
        <v>0</v>
      </c>
      <c r="L29">
        <f t="shared" si="0"/>
        <v>-14.967638043631869</v>
      </c>
    </row>
    <row r="30" spans="1:12">
      <c r="F30">
        <f t="shared" si="5"/>
        <v>27</v>
      </c>
      <c r="G30">
        <f t="shared" si="3"/>
        <v>32</v>
      </c>
      <c r="H30">
        <f t="shared" si="4"/>
        <v>0.99885836186622112</v>
      </c>
      <c r="I30">
        <f t="shared" si="1"/>
        <v>0</v>
      </c>
      <c r="J30">
        <f t="shared" si="2"/>
        <v>0</v>
      </c>
      <c r="L30">
        <f t="shared" si="0"/>
        <v>-14.967638043631869</v>
      </c>
    </row>
    <row r="31" spans="1:12">
      <c r="F31">
        <f t="shared" si="5"/>
        <v>28</v>
      </c>
      <c r="G31">
        <f t="shared" si="3"/>
        <v>32</v>
      </c>
      <c r="H31">
        <f t="shared" si="4"/>
        <v>0.99881273587349984</v>
      </c>
      <c r="I31">
        <f t="shared" si="1"/>
        <v>0</v>
      </c>
      <c r="J31">
        <f t="shared" si="2"/>
        <v>0</v>
      </c>
      <c r="L31">
        <f t="shared" si="0"/>
        <v>-14.967638043631869</v>
      </c>
    </row>
    <row r="32" spans="1:12">
      <c r="F32">
        <f t="shared" si="5"/>
        <v>29</v>
      </c>
      <c r="G32">
        <f t="shared" si="3"/>
        <v>32</v>
      </c>
      <c r="H32">
        <f t="shared" si="4"/>
        <v>0.9987671119648891</v>
      </c>
      <c r="I32">
        <f t="shared" si="1"/>
        <v>0</v>
      </c>
      <c r="J32">
        <f t="shared" si="2"/>
        <v>0</v>
      </c>
      <c r="L32">
        <f t="shared" si="0"/>
        <v>-14.967638043631869</v>
      </c>
    </row>
    <row r="33" spans="6:12">
      <c r="F33">
        <f t="shared" si="5"/>
        <v>30</v>
      </c>
      <c r="G33">
        <f t="shared" si="3"/>
        <v>32</v>
      </c>
      <c r="H33">
        <f t="shared" si="4"/>
        <v>0.99872149014029366</v>
      </c>
      <c r="I33">
        <f t="shared" si="1"/>
        <v>0</v>
      </c>
      <c r="J33">
        <f t="shared" si="2"/>
        <v>0</v>
      </c>
      <c r="L33">
        <f t="shared" si="0"/>
        <v>-14.967638043631869</v>
      </c>
    </row>
    <row r="34" spans="6:12">
      <c r="F34">
        <f t="shared" si="5"/>
        <v>31</v>
      </c>
      <c r="G34">
        <f t="shared" si="3"/>
        <v>32</v>
      </c>
      <c r="H34">
        <f t="shared" si="4"/>
        <v>0.99867587039961836</v>
      </c>
      <c r="I34">
        <f t="shared" si="1"/>
        <v>0</v>
      </c>
      <c r="J34">
        <f t="shared" si="2"/>
        <v>0</v>
      </c>
      <c r="L34">
        <f t="shared" si="0"/>
        <v>-14.967638043631869</v>
      </c>
    </row>
    <row r="35" spans="6:12">
      <c r="F35">
        <f t="shared" si="5"/>
        <v>32</v>
      </c>
      <c r="G35">
        <f t="shared" si="3"/>
        <v>32</v>
      </c>
      <c r="H35">
        <f t="shared" si="4"/>
        <v>0.99863025274276795</v>
      </c>
      <c r="I35">
        <f t="shared" si="1"/>
        <v>0</v>
      </c>
      <c r="J35">
        <f t="shared" si="2"/>
        <v>0</v>
      </c>
      <c r="L35">
        <f t="shared" si="0"/>
        <v>-14.967638043631869</v>
      </c>
    </row>
    <row r="36" spans="6:12">
      <c r="F36">
        <f t="shared" si="5"/>
        <v>33</v>
      </c>
      <c r="G36">
        <f t="shared" si="3"/>
        <v>32</v>
      </c>
      <c r="H36">
        <f t="shared" si="4"/>
        <v>0.99858463716964729</v>
      </c>
      <c r="I36">
        <f t="shared" si="1"/>
        <v>0</v>
      </c>
      <c r="J36">
        <f t="shared" si="2"/>
        <v>0</v>
      </c>
      <c r="L36">
        <f t="shared" si="0"/>
        <v>-14.967638043631869</v>
      </c>
    </row>
    <row r="37" spans="6:12">
      <c r="F37">
        <f t="shared" si="5"/>
        <v>34</v>
      </c>
      <c r="G37">
        <f t="shared" si="3"/>
        <v>32</v>
      </c>
      <c r="H37">
        <f t="shared" si="4"/>
        <v>0.99853902368016123</v>
      </c>
      <c r="I37">
        <f t="shared" si="1"/>
        <v>0</v>
      </c>
      <c r="J37">
        <f t="shared" si="2"/>
        <v>0</v>
      </c>
      <c r="L37">
        <f t="shared" si="0"/>
        <v>-14.967638043631869</v>
      </c>
    </row>
    <row r="38" spans="6:12">
      <c r="F38">
        <f t="shared" si="5"/>
        <v>35</v>
      </c>
      <c r="G38">
        <f t="shared" si="3"/>
        <v>32</v>
      </c>
      <c r="H38">
        <f t="shared" si="4"/>
        <v>0.99849341227421451</v>
      </c>
      <c r="I38">
        <f t="shared" si="1"/>
        <v>0</v>
      </c>
      <c r="J38">
        <f t="shared" si="2"/>
        <v>0</v>
      </c>
      <c r="L38">
        <f t="shared" si="0"/>
        <v>-14.967638043631869</v>
      </c>
    </row>
    <row r="39" spans="6:12">
      <c r="F39">
        <f t="shared" si="5"/>
        <v>36</v>
      </c>
      <c r="G39">
        <f t="shared" si="3"/>
        <v>32</v>
      </c>
      <c r="H39">
        <f t="shared" si="4"/>
        <v>0.99844780295171198</v>
      </c>
      <c r="I39">
        <f t="shared" si="1"/>
        <v>4.9922390147585602</v>
      </c>
      <c r="J39">
        <f t="shared" si="2"/>
        <v>0</v>
      </c>
      <c r="L39">
        <f t="shared" si="0"/>
        <v>-14.967638043631869</v>
      </c>
    </row>
    <row r="40" spans="6:12">
      <c r="F40">
        <f t="shared" si="5"/>
        <v>37</v>
      </c>
      <c r="G40">
        <f t="shared" si="3"/>
        <v>33</v>
      </c>
      <c r="H40">
        <f t="shared" si="4"/>
        <v>0.99839869932154524</v>
      </c>
      <c r="I40">
        <f t="shared" si="1"/>
        <v>0</v>
      </c>
      <c r="J40">
        <f t="shared" si="2"/>
        <v>0</v>
      </c>
      <c r="L40">
        <f t="shared" si="0"/>
        <v>-9.9753990288733085</v>
      </c>
    </row>
    <row r="41" spans="6:12">
      <c r="F41">
        <f t="shared" si="5"/>
        <v>38</v>
      </c>
      <c r="G41">
        <f t="shared" si="3"/>
        <v>33</v>
      </c>
      <c r="H41">
        <f t="shared" si="4"/>
        <v>0.99834959810629342</v>
      </c>
      <c r="I41">
        <f t="shared" si="1"/>
        <v>0</v>
      </c>
      <c r="J41">
        <f t="shared" si="2"/>
        <v>0</v>
      </c>
      <c r="L41">
        <f t="shared" si="0"/>
        <v>-9.9753990288733085</v>
      </c>
    </row>
    <row r="42" spans="6:12">
      <c r="F42">
        <f t="shared" si="5"/>
        <v>39</v>
      </c>
      <c r="G42">
        <f t="shared" si="3"/>
        <v>33</v>
      </c>
      <c r="H42">
        <f t="shared" si="4"/>
        <v>0.99830049930583775</v>
      </c>
      <c r="I42">
        <f t="shared" si="1"/>
        <v>0</v>
      </c>
      <c r="J42">
        <f t="shared" si="2"/>
        <v>0</v>
      </c>
      <c r="L42">
        <f t="shared" si="0"/>
        <v>-9.9753990288733085</v>
      </c>
    </row>
    <row r="43" spans="6:12">
      <c r="F43">
        <f t="shared" si="5"/>
        <v>40</v>
      </c>
      <c r="G43">
        <f t="shared" si="3"/>
        <v>33</v>
      </c>
      <c r="H43">
        <f t="shared" si="4"/>
        <v>0.99825140292005954</v>
      </c>
      <c r="I43">
        <f t="shared" si="1"/>
        <v>0</v>
      </c>
      <c r="J43">
        <f t="shared" si="2"/>
        <v>0</v>
      </c>
      <c r="L43">
        <f t="shared" si="0"/>
        <v>-9.9753990288733085</v>
      </c>
    </row>
    <row r="44" spans="6:12">
      <c r="F44">
        <f t="shared" si="5"/>
        <v>41</v>
      </c>
      <c r="G44">
        <f t="shared" si="3"/>
        <v>33</v>
      </c>
      <c r="H44">
        <f t="shared" si="4"/>
        <v>0.99820230894883999</v>
      </c>
      <c r="I44">
        <f t="shared" si="1"/>
        <v>0</v>
      </c>
      <c r="J44">
        <f t="shared" si="2"/>
        <v>0</v>
      </c>
      <c r="L44">
        <f t="shared" si="0"/>
        <v>-9.9753990288733085</v>
      </c>
    </row>
    <row r="45" spans="6:12">
      <c r="F45">
        <f t="shared" si="5"/>
        <v>42</v>
      </c>
      <c r="G45">
        <f t="shared" si="3"/>
        <v>33</v>
      </c>
      <c r="H45">
        <f t="shared" si="4"/>
        <v>0.99815321739206031</v>
      </c>
      <c r="I45">
        <f t="shared" si="1"/>
        <v>0</v>
      </c>
      <c r="J45">
        <f t="shared" si="2"/>
        <v>0</v>
      </c>
      <c r="L45">
        <f t="shared" si="0"/>
        <v>-9.9753990288733085</v>
      </c>
    </row>
    <row r="46" spans="6:12">
      <c r="F46">
        <f t="shared" si="5"/>
        <v>43</v>
      </c>
      <c r="G46">
        <f t="shared" si="3"/>
        <v>33</v>
      </c>
      <c r="H46">
        <f t="shared" si="4"/>
        <v>0.99810412824960171</v>
      </c>
      <c r="I46">
        <f t="shared" si="1"/>
        <v>0</v>
      </c>
      <c r="J46">
        <f t="shared" si="2"/>
        <v>0</v>
      </c>
      <c r="L46">
        <f t="shared" si="0"/>
        <v>-9.9753990288733085</v>
      </c>
    </row>
    <row r="47" spans="6:12">
      <c r="F47">
        <f t="shared" si="5"/>
        <v>44</v>
      </c>
      <c r="G47">
        <f t="shared" si="3"/>
        <v>33</v>
      </c>
      <c r="H47">
        <f t="shared" si="4"/>
        <v>0.99805504152134561</v>
      </c>
      <c r="I47">
        <f t="shared" si="1"/>
        <v>0</v>
      </c>
      <c r="J47">
        <f t="shared" si="2"/>
        <v>0</v>
      </c>
      <c r="L47">
        <f t="shared" si="0"/>
        <v>-9.9753990288733085</v>
      </c>
    </row>
    <row r="48" spans="6:12">
      <c r="F48">
        <f t="shared" si="5"/>
        <v>45</v>
      </c>
      <c r="G48">
        <f t="shared" si="3"/>
        <v>33</v>
      </c>
      <c r="H48">
        <f t="shared" si="4"/>
        <v>0.99800595720717311</v>
      </c>
      <c r="I48">
        <f t="shared" si="1"/>
        <v>0</v>
      </c>
      <c r="J48">
        <f t="shared" si="2"/>
        <v>0</v>
      </c>
      <c r="L48">
        <f t="shared" si="0"/>
        <v>-9.9753990288733085</v>
      </c>
    </row>
    <row r="49" spans="6:12">
      <c r="F49">
        <f t="shared" si="5"/>
        <v>46</v>
      </c>
      <c r="G49">
        <f t="shared" si="3"/>
        <v>33</v>
      </c>
      <c r="H49">
        <f t="shared" si="4"/>
        <v>0.99795687530696564</v>
      </c>
      <c r="I49">
        <f t="shared" si="1"/>
        <v>0</v>
      </c>
      <c r="J49">
        <f t="shared" si="2"/>
        <v>0</v>
      </c>
      <c r="L49">
        <f t="shared" si="0"/>
        <v>-9.9753990288733085</v>
      </c>
    </row>
    <row r="50" spans="6:12">
      <c r="F50">
        <f t="shared" si="5"/>
        <v>47</v>
      </c>
      <c r="G50">
        <f t="shared" si="3"/>
        <v>33</v>
      </c>
      <c r="H50">
        <f t="shared" si="4"/>
        <v>0.9979077958206044</v>
      </c>
      <c r="I50">
        <f t="shared" si="1"/>
        <v>0</v>
      </c>
      <c r="J50">
        <f t="shared" si="2"/>
        <v>0</v>
      </c>
      <c r="L50">
        <f t="shared" si="0"/>
        <v>-9.9753990288733085</v>
      </c>
    </row>
    <row r="51" spans="6:12">
      <c r="F51">
        <f t="shared" si="5"/>
        <v>48</v>
      </c>
      <c r="G51">
        <f t="shared" si="3"/>
        <v>33</v>
      </c>
      <c r="H51">
        <f t="shared" si="4"/>
        <v>0.99785871874797072</v>
      </c>
      <c r="I51">
        <f t="shared" si="1"/>
        <v>4.9892935937398537</v>
      </c>
      <c r="J51">
        <f t="shared" si="2"/>
        <v>0</v>
      </c>
      <c r="L51">
        <f t="shared" si="0"/>
        <v>-9.9753990288733085</v>
      </c>
    </row>
    <row r="52" spans="6:12">
      <c r="F52">
        <f t="shared" si="5"/>
        <v>49</v>
      </c>
      <c r="G52">
        <f t="shared" si="3"/>
        <v>34</v>
      </c>
      <c r="H52">
        <f t="shared" si="4"/>
        <v>0.99780556720264202</v>
      </c>
      <c r="I52">
        <f t="shared" si="1"/>
        <v>0</v>
      </c>
      <c r="J52">
        <f t="shared" si="2"/>
        <v>0</v>
      </c>
      <c r="L52">
        <f t="shared" si="0"/>
        <v>-4.9861054351334548</v>
      </c>
    </row>
    <row r="53" spans="6:12">
      <c r="F53">
        <f t="shared" si="5"/>
        <v>50</v>
      </c>
      <c r="G53">
        <f t="shared" si="3"/>
        <v>34</v>
      </c>
      <c r="H53">
        <f t="shared" si="4"/>
        <v>0.9977524184884623</v>
      </c>
      <c r="I53">
        <f t="shared" si="1"/>
        <v>0</v>
      </c>
      <c r="J53">
        <f t="shared" si="2"/>
        <v>0</v>
      </c>
      <c r="L53">
        <f t="shared" si="0"/>
        <v>-4.9861054351334548</v>
      </c>
    </row>
    <row r="54" spans="6:12">
      <c r="F54">
        <f t="shared" si="5"/>
        <v>51</v>
      </c>
      <c r="G54">
        <f t="shared" si="3"/>
        <v>34</v>
      </c>
      <c r="H54">
        <f t="shared" si="4"/>
        <v>0.99769927260528091</v>
      </c>
      <c r="I54">
        <f t="shared" si="1"/>
        <v>0</v>
      </c>
      <c r="J54">
        <f t="shared" si="2"/>
        <v>0</v>
      </c>
      <c r="L54">
        <f t="shared" si="0"/>
        <v>-4.9861054351334548</v>
      </c>
    </row>
    <row r="55" spans="6:12">
      <c r="F55">
        <f t="shared" si="5"/>
        <v>52</v>
      </c>
      <c r="G55">
        <f t="shared" si="3"/>
        <v>34</v>
      </c>
      <c r="H55">
        <f t="shared" si="4"/>
        <v>0.99764612955294696</v>
      </c>
      <c r="I55">
        <f t="shared" si="1"/>
        <v>0</v>
      </c>
      <c r="J55">
        <f t="shared" si="2"/>
        <v>0</v>
      </c>
      <c r="L55">
        <f t="shared" si="0"/>
        <v>-4.9861054351334548</v>
      </c>
    </row>
    <row r="56" spans="6:12">
      <c r="F56">
        <f t="shared" si="5"/>
        <v>53</v>
      </c>
      <c r="G56">
        <f t="shared" si="3"/>
        <v>34</v>
      </c>
      <c r="H56">
        <f t="shared" si="4"/>
        <v>0.99759298933130969</v>
      </c>
      <c r="I56">
        <f t="shared" si="1"/>
        <v>0</v>
      </c>
      <c r="J56">
        <f t="shared" si="2"/>
        <v>0</v>
      </c>
      <c r="L56">
        <f t="shared" si="0"/>
        <v>-4.9861054351334548</v>
      </c>
    </row>
    <row r="57" spans="6:12">
      <c r="F57">
        <f t="shared" si="5"/>
        <v>54</v>
      </c>
      <c r="G57">
        <f t="shared" si="3"/>
        <v>34</v>
      </c>
      <c r="H57">
        <f t="shared" si="4"/>
        <v>0.99753985194021833</v>
      </c>
      <c r="I57">
        <f t="shared" si="1"/>
        <v>0</v>
      </c>
      <c r="J57">
        <f t="shared" si="2"/>
        <v>0</v>
      </c>
      <c r="L57">
        <f t="shared" si="0"/>
        <v>-4.9861054351334548</v>
      </c>
    </row>
    <row r="58" spans="6:12">
      <c r="F58">
        <f t="shared" si="5"/>
        <v>55</v>
      </c>
      <c r="G58">
        <f t="shared" si="3"/>
        <v>34</v>
      </c>
      <c r="H58">
        <f t="shared" si="4"/>
        <v>0.99748671737952199</v>
      </c>
      <c r="I58">
        <f t="shared" si="1"/>
        <v>0</v>
      </c>
      <c r="J58">
        <f t="shared" si="2"/>
        <v>0</v>
      </c>
      <c r="L58">
        <f t="shared" si="0"/>
        <v>-4.9861054351334548</v>
      </c>
    </row>
    <row r="59" spans="6:12">
      <c r="F59">
        <f t="shared" si="5"/>
        <v>56</v>
      </c>
      <c r="G59">
        <f t="shared" si="3"/>
        <v>34</v>
      </c>
      <c r="H59">
        <f t="shared" si="4"/>
        <v>0.99743358564907003</v>
      </c>
      <c r="I59">
        <f t="shared" si="1"/>
        <v>0</v>
      </c>
      <c r="J59">
        <f t="shared" si="2"/>
        <v>0</v>
      </c>
      <c r="L59">
        <f t="shared" si="0"/>
        <v>-4.9861054351334548</v>
      </c>
    </row>
    <row r="60" spans="6:12">
      <c r="F60">
        <f t="shared" si="5"/>
        <v>57</v>
      </c>
      <c r="G60">
        <f t="shared" si="3"/>
        <v>34</v>
      </c>
      <c r="H60">
        <f t="shared" si="4"/>
        <v>0.99738045674871167</v>
      </c>
      <c r="I60">
        <f t="shared" si="1"/>
        <v>0</v>
      </c>
      <c r="J60">
        <f t="shared" si="2"/>
        <v>0</v>
      </c>
      <c r="L60">
        <f t="shared" si="0"/>
        <v>-4.9861054351334548</v>
      </c>
    </row>
    <row r="61" spans="6:12">
      <c r="F61">
        <f t="shared" si="5"/>
        <v>58</v>
      </c>
      <c r="G61">
        <f t="shared" si="3"/>
        <v>34</v>
      </c>
      <c r="H61">
        <f t="shared" si="4"/>
        <v>0.99732733067829626</v>
      </c>
      <c r="I61">
        <f t="shared" si="1"/>
        <v>0</v>
      </c>
      <c r="J61">
        <f t="shared" si="2"/>
        <v>0</v>
      </c>
      <c r="L61">
        <f t="shared" si="0"/>
        <v>-4.9861054351334548</v>
      </c>
    </row>
    <row r="62" spans="6:12">
      <c r="F62">
        <f t="shared" si="5"/>
        <v>59</v>
      </c>
      <c r="G62">
        <f t="shared" si="3"/>
        <v>34</v>
      </c>
      <c r="H62">
        <f t="shared" si="4"/>
        <v>0.99727420743767292</v>
      </c>
      <c r="I62">
        <f t="shared" si="1"/>
        <v>0</v>
      </c>
      <c r="J62">
        <f t="shared" si="2"/>
        <v>0</v>
      </c>
      <c r="L62">
        <f>L63*$B$12+J62-I62</f>
        <v>-4.9861054351334548</v>
      </c>
    </row>
    <row r="63" spans="6:12">
      <c r="F63">
        <f t="shared" si="5"/>
        <v>60</v>
      </c>
      <c r="G63">
        <f t="shared" si="3"/>
        <v>34</v>
      </c>
      <c r="H63">
        <f t="shared" si="4"/>
        <v>0.99722108702669099</v>
      </c>
      <c r="I63">
        <f t="shared" si="1"/>
        <v>4.9861054351334548</v>
      </c>
      <c r="J63">
        <f t="shared" si="2"/>
        <v>0</v>
      </c>
      <c r="L63">
        <f>J63-I63</f>
        <v>-4.9861054351334548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Data</vt:lpstr>
      <vt:lpstr>Term Life with morb lapse</vt:lpstr>
      <vt:lpstr>Term Life with mord</vt:lpstr>
      <vt:lpstr>Sheet1</vt:lpstr>
      <vt:lpstr>Term Life</vt:lpstr>
      <vt:lpstr>Endowment</vt:lpstr>
      <vt:lpstr>Morbidity_Table</vt:lpstr>
      <vt:lpstr>'Term Life with morb lapse'!Mortality_Table</vt:lpstr>
      <vt:lpstr>Mortality_Table</vt:lpstr>
    </vt:vector>
  </TitlesOfParts>
  <Company>Cigna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Sun, Justin      HKG15</dc:creator>
  <cp:lastModifiedBy>Jianzhi Sun</cp:lastModifiedBy>
  <dcterms:created xsi:type="dcterms:W3CDTF">2018-08-31T03:09:06Z</dcterms:created>
  <dcterms:modified xsi:type="dcterms:W3CDTF">2018-11-05T14:07:54Z</dcterms:modified>
</cp:coreProperties>
</file>